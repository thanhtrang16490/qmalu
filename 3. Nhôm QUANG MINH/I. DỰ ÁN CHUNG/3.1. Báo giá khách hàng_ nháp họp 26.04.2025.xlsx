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II. TÀI LIỆU GIÁ_ THỊ TRƯỜNG ÁP MÁI NHÀ DÂN\9. NCC NHÔM\3. Nhôm QUANG MINH\I. DỰ ÁN CHUNG\"/>
    </mc:Choice>
  </mc:AlternateContent>
  <xr:revisionPtr revIDLastSave="0" documentId="13_ncr:1_{36CF5B5E-6103-4A76-A2A4-756A81153A74}" xr6:coauthVersionLast="47" xr6:coauthVersionMax="47" xr10:uidLastSave="{00000000-0000-0000-0000-000000000000}"/>
  <bookViews>
    <workbookView xWindow="-110" yWindow="-110" windowWidth="19420" windowHeight="10300" xr2:uid="{00000000-000D-0000-FFFF-FFFF00000000}"/>
  </bookViews>
  <sheets>
    <sheet name="Báo giá gốc" sheetId="2" r:id="rId1"/>
    <sheet name="Báo giá dự án &gt;1MWP" sheetId="1" r:id="rId2"/>
    <sheet name="Báo giá tổng EPC" sheetId="4" r:id="rId3"/>
    <sheet name="Báo giá bán lẻ" sheetId="3"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 i="2" l="1"/>
  <c r="I7" i="2"/>
  <c r="Q6" i="2"/>
  <c r="P9" i="2"/>
  <c r="M25" i="2"/>
  <c r="P17" i="2"/>
  <c r="P7" i="2"/>
  <c r="P6" i="2"/>
  <c r="M30" i="2"/>
  <c r="S7" i="2"/>
  <c r="S8" i="2"/>
  <c r="S9" i="2"/>
  <c r="S10" i="2"/>
  <c r="S11" i="2"/>
  <c r="S12" i="2"/>
  <c r="S13" i="2"/>
  <c r="S14" i="2"/>
  <c r="S15" i="2"/>
  <c r="S16" i="2"/>
  <c r="S17" i="2"/>
  <c r="S18" i="2"/>
  <c r="S19" i="2"/>
  <c r="S20" i="2"/>
  <c r="S21" i="2"/>
  <c r="S22" i="2"/>
  <c r="S23" i="2"/>
  <c r="S24" i="2"/>
  <c r="S25" i="2"/>
  <c r="S26" i="2"/>
  <c r="S27" i="2"/>
  <c r="S28" i="2"/>
  <c r="S29" i="2"/>
  <c r="S6" i="2"/>
  <c r="R6" i="2"/>
  <c r="R7" i="2"/>
  <c r="R8" i="2"/>
  <c r="R9" i="2"/>
  <c r="R10" i="2"/>
  <c r="R11" i="2"/>
  <c r="R12" i="2"/>
  <c r="R13" i="2"/>
  <c r="R14" i="2"/>
  <c r="R15" i="2"/>
  <c r="R16" i="2"/>
  <c r="R17" i="2"/>
  <c r="R18" i="2"/>
  <c r="R19" i="2"/>
  <c r="R20" i="2"/>
  <c r="R21" i="2"/>
  <c r="R22" i="2"/>
  <c r="R23" i="2"/>
  <c r="R24" i="2"/>
  <c r="R25" i="2"/>
  <c r="R26" i="2"/>
  <c r="R27" i="2"/>
  <c r="R28" i="2"/>
  <c r="R29" i="2"/>
  <c r="Q7" i="2"/>
  <c r="Q8" i="2"/>
  <c r="Q9" i="2"/>
  <c r="Q10" i="2"/>
  <c r="Q11" i="2"/>
  <c r="Q12" i="2"/>
  <c r="Q13" i="2"/>
  <c r="Q14" i="2"/>
  <c r="Q15" i="2"/>
  <c r="Q16" i="2"/>
  <c r="Q17" i="2"/>
  <c r="Q18" i="2"/>
  <c r="Q19" i="2"/>
  <c r="Q20" i="2"/>
  <c r="Q21" i="2"/>
  <c r="Q22" i="2"/>
  <c r="Q23" i="2"/>
  <c r="Q24" i="2"/>
  <c r="Q25" i="2"/>
  <c r="Q26" i="2"/>
  <c r="Q27" i="2"/>
  <c r="Q28" i="2"/>
  <c r="Q29" i="2"/>
  <c r="P8" i="2"/>
  <c r="P10" i="2"/>
  <c r="P11" i="2"/>
  <c r="P12" i="2"/>
  <c r="P13" i="2"/>
  <c r="P14" i="2"/>
  <c r="P15" i="2"/>
  <c r="P16" i="2"/>
  <c r="P18" i="2"/>
  <c r="P19" i="2"/>
  <c r="P20" i="2"/>
  <c r="P21" i="2"/>
  <c r="P22" i="2"/>
  <c r="P23" i="2"/>
  <c r="P24" i="2"/>
  <c r="P25" i="2"/>
  <c r="P26" i="2"/>
  <c r="P27" i="2"/>
  <c r="P28" i="2"/>
  <c r="P29" i="2"/>
  <c r="L25" i="2"/>
  <c r="L14" i="2"/>
  <c r="M13" i="2"/>
  <c r="L13" i="2"/>
  <c r="N7" i="2"/>
  <c r="N8" i="2"/>
  <c r="N9" i="2"/>
  <c r="N10" i="2"/>
  <c r="N11" i="2"/>
  <c r="N12" i="2"/>
  <c r="N13" i="2"/>
  <c r="N14" i="2"/>
  <c r="N16" i="2"/>
  <c r="N17" i="2"/>
  <c r="N18" i="2"/>
  <c r="N20" i="2"/>
  <c r="N21" i="2"/>
  <c r="N22" i="2"/>
  <c r="N23" i="2"/>
  <c r="N24" i="2"/>
  <c r="N25" i="2"/>
  <c r="N26" i="2"/>
  <c r="N27" i="2"/>
  <c r="N28" i="2"/>
  <c r="N29" i="2"/>
  <c r="N6" i="2"/>
  <c r="L30" i="2"/>
  <c r="M7" i="2"/>
  <c r="M8" i="2"/>
  <c r="M9" i="2"/>
  <c r="M10" i="2"/>
  <c r="M11" i="2"/>
  <c r="M12" i="2"/>
  <c r="M14" i="2"/>
  <c r="M15" i="2"/>
  <c r="M16" i="2"/>
  <c r="M17" i="2"/>
  <c r="M18" i="2"/>
  <c r="M19" i="2"/>
  <c r="M20" i="2"/>
  <c r="M21" i="2"/>
  <c r="M22" i="2"/>
  <c r="M23" i="2"/>
  <c r="M24" i="2"/>
  <c r="M26" i="2"/>
  <c r="M27" i="2"/>
  <c r="M28" i="2"/>
  <c r="M29" i="2"/>
  <c r="M6" i="2"/>
  <c r="L24" i="2"/>
  <c r="L15" i="2"/>
  <c r="L19" i="2"/>
  <c r="N19" i="2" s="1"/>
  <c r="L7" i="2"/>
  <c r="L8" i="2"/>
  <c r="L9" i="2"/>
  <c r="L10" i="2"/>
  <c r="L11" i="2"/>
  <c r="L12" i="2"/>
  <c r="L16" i="2"/>
  <c r="L17" i="2"/>
  <c r="L18" i="2"/>
  <c r="L20" i="2"/>
  <c r="L21" i="2"/>
  <c r="L22" i="2"/>
  <c r="L23" i="2"/>
  <c r="L26" i="2"/>
  <c r="L27" i="2"/>
  <c r="L28" i="2"/>
  <c r="L29" i="2"/>
  <c r="L6" i="2"/>
  <c r="G29" i="4"/>
  <c r="H29" i="4" s="1"/>
  <c r="G28" i="4"/>
  <c r="H28" i="4" s="1"/>
  <c r="G27" i="4"/>
  <c r="H27" i="4" s="1"/>
  <c r="G26" i="4"/>
  <c r="H26" i="4" s="1"/>
  <c r="G25" i="4"/>
  <c r="H25" i="4" s="1"/>
  <c r="G24" i="4"/>
  <c r="H24" i="4" s="1"/>
  <c r="G23" i="4"/>
  <c r="H23" i="4" s="1"/>
  <c r="G22" i="4"/>
  <c r="H22" i="4" s="1"/>
  <c r="G21" i="4"/>
  <c r="H21" i="4" s="1"/>
  <c r="G20" i="4"/>
  <c r="H20" i="4" s="1"/>
  <c r="G19" i="4"/>
  <c r="H19" i="4" s="1"/>
  <c r="G18" i="4"/>
  <c r="H18" i="4" s="1"/>
  <c r="G17" i="4"/>
  <c r="H17" i="4" s="1"/>
  <c r="G16" i="4"/>
  <c r="H16" i="4" s="1"/>
  <c r="G15" i="4"/>
  <c r="H15" i="4" s="1"/>
  <c r="G14" i="4"/>
  <c r="H14" i="4" s="1"/>
  <c r="G13" i="4"/>
  <c r="H13" i="4" s="1"/>
  <c r="G12" i="4"/>
  <c r="H12" i="4" s="1"/>
  <c r="G11" i="4"/>
  <c r="H11" i="4" s="1"/>
  <c r="G10" i="4"/>
  <c r="H10" i="4" s="1"/>
  <c r="G9" i="4"/>
  <c r="H9" i="4" s="1"/>
  <c r="G8" i="4"/>
  <c r="H8" i="4" s="1"/>
  <c r="G7" i="4"/>
  <c r="H7" i="4" s="1"/>
  <c r="G6" i="4"/>
  <c r="H6" i="4" s="1"/>
  <c r="H2" i="4"/>
  <c r="G29" i="3"/>
  <c r="H29" i="3" s="1"/>
  <c r="G28" i="3"/>
  <c r="H28" i="3" s="1"/>
  <c r="G27" i="3"/>
  <c r="H27" i="3" s="1"/>
  <c r="G26" i="3"/>
  <c r="H26" i="3" s="1"/>
  <c r="G25" i="3"/>
  <c r="H25" i="3" s="1"/>
  <c r="G24" i="3"/>
  <c r="H24" i="3" s="1"/>
  <c r="G23" i="3"/>
  <c r="H23" i="3" s="1"/>
  <c r="G22" i="3"/>
  <c r="H22" i="3" s="1"/>
  <c r="G21" i="3"/>
  <c r="H21" i="3" s="1"/>
  <c r="G20" i="3"/>
  <c r="H20" i="3" s="1"/>
  <c r="G19" i="3"/>
  <c r="H19" i="3" s="1"/>
  <c r="G18" i="3"/>
  <c r="H18" i="3" s="1"/>
  <c r="G17" i="3"/>
  <c r="H17" i="3" s="1"/>
  <c r="G16" i="3"/>
  <c r="H16" i="3" s="1"/>
  <c r="G15" i="3"/>
  <c r="H15" i="3" s="1"/>
  <c r="G14" i="3"/>
  <c r="H14" i="3" s="1"/>
  <c r="G13" i="3"/>
  <c r="H13" i="3" s="1"/>
  <c r="G12" i="3"/>
  <c r="H12" i="3" s="1"/>
  <c r="G11" i="3"/>
  <c r="H11" i="3" s="1"/>
  <c r="G10" i="3"/>
  <c r="H10" i="3" s="1"/>
  <c r="G9" i="3"/>
  <c r="H9" i="3" s="1"/>
  <c r="G8" i="3"/>
  <c r="H8" i="3" s="1"/>
  <c r="G7" i="3"/>
  <c r="H7" i="3" s="1"/>
  <c r="G6" i="3"/>
  <c r="H6" i="3" s="1"/>
  <c r="H2" i="3"/>
  <c r="G29" i="2"/>
  <c r="G28" i="2"/>
  <c r="G27" i="2"/>
  <c r="G26" i="2"/>
  <c r="G25" i="2"/>
  <c r="G24" i="2"/>
  <c r="G23" i="2"/>
  <c r="G22" i="2"/>
  <c r="G21" i="2"/>
  <c r="G20" i="2"/>
  <c r="G19" i="2"/>
  <c r="G18" i="2"/>
  <c r="G17" i="2"/>
  <c r="G16" i="2"/>
  <c r="G15" i="2"/>
  <c r="G14" i="2"/>
  <c r="G13" i="2"/>
  <c r="G12" i="2"/>
  <c r="G11" i="2"/>
  <c r="G10" i="2"/>
  <c r="G9" i="2"/>
  <c r="G8" i="2"/>
  <c r="G7" i="2"/>
  <c r="G6" i="2"/>
  <c r="H2" i="2"/>
  <c r="H7" i="1"/>
  <c r="H8" i="1"/>
  <c r="H9" i="1"/>
  <c r="H10" i="1"/>
  <c r="H11" i="1"/>
  <c r="H12" i="1"/>
  <c r="H13" i="1"/>
  <c r="H14" i="1"/>
  <c r="H15" i="1"/>
  <c r="H16" i="1"/>
  <c r="H17" i="1"/>
  <c r="H18" i="1"/>
  <c r="H19" i="1"/>
  <c r="H20" i="1"/>
  <c r="H21" i="1"/>
  <c r="H22" i="1"/>
  <c r="H23" i="1"/>
  <c r="H24" i="1"/>
  <c r="H25" i="1"/>
  <c r="H26" i="1"/>
  <c r="H27" i="1"/>
  <c r="H28" i="1"/>
  <c r="H29" i="1"/>
  <c r="H6" i="1"/>
  <c r="G7" i="1"/>
  <c r="G8" i="1"/>
  <c r="G9" i="1"/>
  <c r="G10" i="1"/>
  <c r="G11" i="1"/>
  <c r="G12" i="1"/>
  <c r="G13" i="1"/>
  <c r="G14" i="1"/>
  <c r="G15" i="1"/>
  <c r="G16" i="1"/>
  <c r="G17" i="1"/>
  <c r="G18" i="1"/>
  <c r="G19" i="1"/>
  <c r="G20" i="1"/>
  <c r="G21" i="1"/>
  <c r="G22" i="1"/>
  <c r="G23" i="1"/>
  <c r="G24" i="1"/>
  <c r="G25" i="1"/>
  <c r="G26" i="1"/>
  <c r="G27" i="1"/>
  <c r="G28" i="1"/>
  <c r="G29" i="1"/>
  <c r="G6" i="1"/>
  <c r="H2" i="1"/>
  <c r="N15" i="2" l="1"/>
  <c r="M31" i="2"/>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
    <bk>
      <extLst>
        <ext xmlns:xlrd="http://schemas.microsoft.com/office/spreadsheetml/2017/richdata" uri="{3e2802c4-a4d2-4d8b-9148-e3be6c30e623}">
          <xlrd:rvb i="0"/>
        </ext>
      </extLst>
    </bk>
  </futureMetadata>
  <valueMetadata count="1">
    <bk>
      <rc t="1" v="0"/>
    </bk>
  </valueMetadata>
</metadata>
</file>

<file path=xl/sharedStrings.xml><?xml version="1.0" encoding="utf-8"?>
<sst xmlns="http://schemas.openxmlformats.org/spreadsheetml/2006/main" count="362" uniqueCount="79">
  <si>
    <r>
      <rPr>
        <b/>
        <sz val="12"/>
        <color rgb="FF000000"/>
        <rFont val="Times New Roman"/>
        <family val="1"/>
      </rPr>
      <t>CÔNG TY CP KỸ THUẬT CÔNG NGHỆ QUANG MINH</t>
    </r>
    <r>
      <rPr>
        <sz val="12"/>
        <color rgb="FF000000"/>
        <rFont val="Times New Roman"/>
        <family val="1"/>
      </rPr>
      <t xml:space="preserve">
Địa Chỉ : Số 51 Tổ 4 , TT Đông Anh , H Đông Anh , TP Hà Nội 
Nhà Máy : Lô CN09 KCN Nguyên Khê - Đông Anh - Hà Nội 
MST : 0106124982 
Email : tuyenft@gmail.com
Hotline: 0979 308 945</t>
    </r>
  </si>
  <si>
    <t>Đông Anh</t>
  </si>
  <si>
    <t>BẢNG GIÁ PHỤ KIỆN SOLAR</t>
  </si>
  <si>
    <t>Hình ảnh minh họa</t>
  </si>
  <si>
    <t>ĐVT</t>
  </si>
  <si>
    <t>Số lượng</t>
  </si>
  <si>
    <t>Đơn giá chưa VAT 
(VNĐ)</t>
  </si>
  <si>
    <r>
      <rPr>
        <b/>
        <sz val="12"/>
        <rFont val="Times New Roman"/>
        <family val="1"/>
      </rPr>
      <t>Thanh ray nhôm ( Rail )</t>
    </r>
    <r>
      <rPr>
        <sz val="12"/>
        <rFont val="Times New Roman"/>
        <family val="1"/>
      </rPr>
      <t xml:space="preserve">
- Kích thước : 26x52mm
- Tỷ trọng : 0.63 (+-5%)
- Mác nhôm 6005 - T5/T6</t>
    </r>
  </si>
  <si>
    <r>
      <rPr>
        <sz val="12"/>
        <rFont val="Times New Roman"/>
        <family val="1"/>
      </rPr>
      <t>M</t>
    </r>
  </si>
  <si>
    <r>
      <rPr>
        <b/>
        <sz val="12"/>
        <rFont val="Times New Roman"/>
        <family val="1"/>
      </rPr>
      <t>Thanh ray nhôm ( Rail )</t>
    </r>
    <r>
      <rPr>
        <sz val="12"/>
        <rFont val="Times New Roman"/>
        <family val="1"/>
      </rPr>
      <t xml:space="preserve">
- Kích thước : 26x50mm
- Tỷ trọng : 0.62 (+-5%)
- Mác nhôm 6005 - T5,T6</t>
    </r>
  </si>
  <si>
    <r>
      <rPr>
        <b/>
        <sz val="12"/>
        <rFont val="Times New Roman"/>
        <family val="1"/>
      </rPr>
      <t>Thanh ray nhôm ( Rail )</t>
    </r>
    <r>
      <rPr>
        <sz val="12"/>
        <rFont val="Times New Roman"/>
        <family val="1"/>
      </rPr>
      <t xml:space="preserve">
- Kích thước : 26x50mm
- Tỷ trọng : 0.60 (+-5%)
- Mác nhôm 6005 - T5,T6</t>
    </r>
  </si>
  <si>
    <r>
      <rPr>
        <b/>
        <sz val="12"/>
        <rFont val="Times New Roman"/>
        <family val="1"/>
      </rPr>
      <t>Thanh ray nhôm ( Rail )</t>
    </r>
    <r>
      <rPr>
        <sz val="12"/>
        <rFont val="Times New Roman"/>
        <family val="1"/>
      </rPr>
      <t xml:space="preserve">
- Kích thước : 26x45mm
- Tỷ trọng : 0.54 (+-5%)
- Mác nhôm 6005 - T5,T6</t>
    </r>
  </si>
  <si>
    <r>
      <rPr>
        <b/>
        <sz val="12"/>
        <rFont val="Times New Roman"/>
        <family val="1"/>
      </rPr>
      <t>Mini rail dài 200mm T2.7</t>
    </r>
    <r>
      <rPr>
        <sz val="12"/>
        <rFont val="Times New Roman"/>
        <family val="1"/>
      </rPr>
      <t xml:space="preserve">
- Kích thước 40x45</t>
    </r>
  </si>
  <si>
    <r>
      <rPr>
        <sz val="12"/>
        <rFont val="Times New Roman"/>
        <family val="1"/>
      </rPr>
      <t>Cái</t>
    </r>
  </si>
  <si>
    <r>
      <rPr>
        <b/>
        <sz val="12"/>
        <rFont val="Times New Roman"/>
        <family val="1"/>
      </rPr>
      <t>Mini rail dài 200mm T1.7</t>
    </r>
    <r>
      <rPr>
        <sz val="12"/>
        <rFont val="Times New Roman"/>
        <family val="1"/>
      </rPr>
      <t xml:space="preserve">
- Kích thước 32x40</t>
    </r>
  </si>
  <si>
    <r>
      <rPr>
        <b/>
        <sz val="12"/>
        <rFont val="Times New Roman"/>
        <family val="1"/>
      </rPr>
      <t>Mini rail dài 200mm T1.3</t>
    </r>
    <r>
      <rPr>
        <sz val="12"/>
        <rFont val="Times New Roman"/>
        <family val="1"/>
      </rPr>
      <t xml:space="preserve">
- Kích thước 32x40</t>
    </r>
  </si>
  <si>
    <r>
      <rPr>
        <b/>
        <sz val="12"/>
        <rFont val="Times New Roman"/>
        <family val="1"/>
      </rPr>
      <t>Thanh nối Rail dài 140mm</t>
    </r>
    <r>
      <rPr>
        <sz val="12"/>
        <rFont val="Times New Roman"/>
        <family val="1"/>
      </rPr>
      <t xml:space="preserve">
- Kích thước : 140x21.5mm
- Bao gồm: 2 bulong M8x20 , đệm
vênh</t>
    </r>
  </si>
  <si>
    <r>
      <rPr>
        <sz val="12"/>
        <rFont val="Times New Roman"/>
        <family val="1"/>
      </rPr>
      <t>Bộ</t>
    </r>
  </si>
  <si>
    <r>
      <rPr>
        <b/>
        <sz val="12"/>
        <rFont val="Times New Roman"/>
        <family val="1"/>
      </rPr>
      <t>Kẹp Giữa</t>
    </r>
    <r>
      <rPr>
        <sz val="12"/>
        <rFont val="Times New Roman"/>
        <family val="1"/>
      </rPr>
      <t xml:space="preserve">
- Kích thước :40x40mm
- Bao gồm: Bulong M8x40 ,đệm
vênh , con chạy</t>
    </r>
  </si>
  <si>
    <r>
      <rPr>
        <b/>
        <sz val="12"/>
        <rFont val="Times New Roman"/>
        <family val="1"/>
      </rPr>
      <t>Chân L 6.0mm</t>
    </r>
    <r>
      <rPr>
        <sz val="12"/>
        <rFont val="Times New Roman"/>
        <family val="1"/>
      </rPr>
      <t xml:space="preserve">
- Kích thước : 85x40mm
-  Bao gồm Bulong M8x25, con
chạy, vít bắn tôn, đệm.</t>
    </r>
  </si>
  <si>
    <r>
      <rPr>
        <b/>
        <sz val="12"/>
        <rFont val="Times New Roman"/>
        <family val="1"/>
      </rPr>
      <t>Chân L8.0mm</t>
    </r>
    <r>
      <rPr>
        <sz val="12"/>
        <rFont val="Times New Roman"/>
        <family val="1"/>
      </rPr>
      <t xml:space="preserve">
- Kích thước : 120x40mm
- Bao gồm Bulong M8x25, con
chạy, Vít bắn tôn, đệm.</t>
    </r>
  </si>
  <si>
    <r>
      <rPr>
        <b/>
        <sz val="12"/>
        <rFont val="Times New Roman"/>
        <family val="1"/>
      </rPr>
      <t>Kẹp Biên 30 - 35- 40</t>
    </r>
    <r>
      <rPr>
        <sz val="12"/>
        <rFont val="Times New Roman"/>
        <family val="1"/>
      </rPr>
      <t xml:space="preserve">
- Kích thước: 40x40mm
-Bao gồm Bulong M8x25, đệm vênh, con chạy</t>
    </r>
  </si>
  <si>
    <r>
      <rPr>
        <b/>
        <sz val="12"/>
        <rFont val="Times New Roman"/>
        <family val="1"/>
      </rPr>
      <t>Kẹp Cliplook theo sóng tôn</t>
    </r>
    <r>
      <rPr>
        <sz val="12"/>
        <rFont val="Times New Roman"/>
        <family val="1"/>
      </rPr>
      <t xml:space="preserve">
- Kích thước 55mm
- 02 Bulong M8x25 bao gồm ecu và đệm  Inox 304</t>
    </r>
  </si>
  <si>
    <r>
      <rPr>
        <b/>
        <sz val="12"/>
        <rFont val="Times New Roman"/>
        <family val="1"/>
      </rPr>
      <t>Kẹp Seamlook theo sóng tôn</t>
    </r>
    <r>
      <rPr>
        <sz val="12"/>
        <rFont val="Times New Roman"/>
        <family val="1"/>
      </rPr>
      <t xml:space="preserve">
- Kích thước 55mm
- 02 Bulong M8x25 bao gồm ecu và đệm  Inox 304</t>
    </r>
  </si>
  <si>
    <r>
      <rPr>
        <b/>
        <sz val="12"/>
        <rFont val="Times New Roman"/>
        <family val="1"/>
      </rPr>
      <t>Chụp sóng tôn vuông 22-25</t>
    </r>
    <r>
      <rPr>
        <sz val="12"/>
        <rFont val="Times New Roman"/>
        <family val="1"/>
      </rPr>
      <t xml:space="preserve">
- 01 Vit bắn tôn Inox 410 M5.5x75
- Đệm cao su</t>
    </r>
  </si>
  <si>
    <r>
      <rPr>
        <b/>
        <sz val="12"/>
        <rFont val="Times New Roman"/>
        <family val="1"/>
      </rPr>
      <t>Kẹp Tiếp Địa</t>
    </r>
    <r>
      <rPr>
        <sz val="12"/>
        <rFont val="Times New Roman"/>
        <family val="1"/>
      </rPr>
      <t xml:space="preserve">
- 01 Bulong M8x25 , đệm vênh
- 01 Con trượt
- 01 Blong M6x16
- 01 Lá tiếp địa</t>
    </r>
  </si>
  <si>
    <r>
      <rPr>
        <b/>
        <sz val="12"/>
        <rFont val="Times New Roman"/>
        <family val="1"/>
      </rPr>
      <t>Pát Z mạ kẽm nhúng nóng</t>
    </r>
    <r>
      <rPr>
        <sz val="12"/>
        <rFont val="Times New Roman"/>
        <family val="1"/>
      </rPr>
      <t xml:space="preserve">
- Kích thước 200x100x2mm</t>
    </r>
  </si>
  <si>
    <r>
      <rPr>
        <b/>
        <sz val="12"/>
        <rFont val="Times New Roman"/>
        <family val="1"/>
      </rPr>
      <t>Pát Z mạ kẽm nhúng nóng</t>
    </r>
    <r>
      <rPr>
        <sz val="12"/>
        <rFont val="Times New Roman"/>
        <family val="1"/>
      </rPr>
      <t xml:space="preserve">
- Kích thước 300x100x2mm</t>
    </r>
  </si>
  <si>
    <t>Kẹp dây điện</t>
  </si>
  <si>
    <t>Lá Tiếp Địa</t>
  </si>
  <si>
    <t>Bulong M8x20</t>
  </si>
  <si>
    <t>Bulong M8x25</t>
  </si>
  <si>
    <t>Bulong  M8x40</t>
  </si>
  <si>
    <t>Bulong  M8x50</t>
  </si>
  <si>
    <t>II.</t>
  </si>
  <si>
    <t>Nội dung đính kèm bảng giá</t>
  </si>
  <si>
    <t>1.</t>
  </si>
  <si>
    <t>Đơn giá:</t>
  </si>
  <si>
    <t>2.</t>
  </si>
  <si>
    <t>Địa điểm giao nhận:</t>
  </si>
  <si>
    <t>Thỏa thuận chi tiết</t>
  </si>
  <si>
    <t xml:space="preserve">3. </t>
  </si>
  <si>
    <t>Tiến độ giao hàng:</t>
  </si>
  <si>
    <t>Chất lượng hàng hóa:</t>
  </si>
  <si>
    <t>Hàng mới 100%; bề mặt nhôm Anode từ 8-12 µm</t>
  </si>
  <si>
    <t>5.</t>
  </si>
  <si>
    <t>Bảo hành:</t>
  </si>
  <si>
    <t>15 năm đối với bề mặt Anode; 12 năm đối với kết cấu</t>
  </si>
  <si>
    <t>6.</t>
  </si>
  <si>
    <t>Thanh toán:</t>
  </si>
  <si>
    <t xml:space="preserve">6.1. Đặt cọc: </t>
  </si>
  <si>
    <t>20% giá trị đơn hàng hoặc thỏa thuận chi tiết;</t>
  </si>
  <si>
    <t>6.2. Thanh toán tiến độ:</t>
  </si>
  <si>
    <t>Thanh toán đến 90% giá trị đơn hàng ngay khi hai bên tiến hành giao nhận</t>
  </si>
  <si>
    <t>6.3. Quyết toán:</t>
  </si>
  <si>
    <t>Thanh toán hết 100% giá trị đơn hàng sau tối đa 10 ngày kể từ ngày bàn giao đầy đủ hàng hóa và chứng từ thanh toán theo quy định của hợp đồng mua bán giữa hai bên</t>
  </si>
  <si>
    <t>6.4. STK Thụ hưởng:</t>
  </si>
  <si>
    <r>
      <rPr>
        <b/>
        <sz val="12"/>
        <color theme="1"/>
        <rFont val="Times New Roman"/>
        <family val="1"/>
      </rPr>
      <t>Công ty CP Kỹ thuật Công nghệ Quang Minh</t>
    </r>
    <r>
      <rPr>
        <sz val="12"/>
        <color theme="1"/>
        <rFont val="Times New Roman"/>
        <family val="1"/>
      </rPr>
      <t xml:space="preserve">
Số TK: 0311100849009
Ngân hàng TMCP MB bank - CN Đông Anh.</t>
    </r>
  </si>
  <si>
    <t>7.</t>
  </si>
  <si>
    <t>Hiệu lực báo giá:</t>
  </si>
  <si>
    <t>15 ngày</t>
  </si>
  <si>
    <t xml:space="preserve"> </t>
  </si>
  <si>
    <t>CÔNG TY CP KỸ THUẬT CÔNG NGHỆ 
QUANG MINH</t>
  </si>
  <si>
    <t>STT</t>
  </si>
  <si>
    <t>Chủng loại + Thông số</t>
  </si>
  <si>
    <t>VAT (10%)</t>
  </si>
  <si>
    <t>Tổng bao gồm VAT 
(VNĐ)</t>
  </si>
  <si>
    <t>Đơn giá đã bao gồm VAT 10%</t>
  </si>
  <si>
    <r>
      <rPr>
        <b/>
        <sz val="12"/>
        <rFont val="Times New Roman"/>
        <family val="1"/>
      </rPr>
      <t xml:space="preserve">Kính Gửi : Quý Nhà Phân Phối
</t>
    </r>
    <r>
      <rPr>
        <i/>
        <sz val="12"/>
        <rFont val="Times New Roman"/>
        <family val="1"/>
      </rPr>
      <t>Công ty cổ phần kỹ thuật và công nghệ Quang Minh xin gửi tới Quý khách hàng lời chào trân trọng và hợp tác .                                                                                                                                       Cảm ơn Quý khách hàng đã ủng hộ sản phẩm của chúng tôi trong thời gian vừa qua. Chúng tôi xin gửi tới Quý khách hàng bảng thông báo giá nội dung cụ thể như sau :</t>
    </r>
  </si>
  <si>
    <t>Holcom</t>
    <phoneticPr fontId="15" type="noConversion"/>
  </si>
  <si>
    <t>Tổng Giá QM</t>
    <phoneticPr fontId="15" type="noConversion"/>
  </si>
  <si>
    <t>Quanity
(7.24 MWP)</t>
    <phoneticPr fontId="15" type="noConversion"/>
  </si>
  <si>
    <t>Giảm giá cho
khách hàng NPP/1MWp, EPC lớn
-5%</t>
    <phoneticPr fontId="15" type="noConversion"/>
  </si>
  <si>
    <t>TỔNG GIÁ TRỊ HỢP ĐỒNG</t>
    <phoneticPr fontId="15" type="noConversion"/>
  </si>
  <si>
    <t>Pricing niêm yết
- Holcom 3%</t>
    <phoneticPr fontId="15" type="noConversion"/>
  </si>
  <si>
    <t>EPC vừa/nhỏ
-4%</t>
    <phoneticPr fontId="15" type="noConversion"/>
  </si>
  <si>
    <r>
      <t>Installer</t>
    </r>
    <r>
      <rPr>
        <b/>
        <sz val="11"/>
        <color rgb="FFFF0000"/>
        <rFont val="等线"/>
        <family val="2"/>
        <charset val="134"/>
      </rPr>
      <t xml:space="preserve"> / Nhà dân
</t>
    </r>
    <r>
      <rPr>
        <b/>
        <sz val="11"/>
        <color rgb="FFFF0000"/>
        <rFont val="Calibri"/>
        <family val="2"/>
        <charset val="163"/>
      </rPr>
      <t>-3% Holcom</t>
    </r>
    <phoneticPr fontId="15" type="noConversion"/>
  </si>
  <si>
    <r>
      <t>T</t>
    </r>
    <r>
      <rPr>
        <b/>
        <sz val="11"/>
        <color theme="1"/>
        <rFont val="Calibri"/>
        <family val="2"/>
        <charset val="163"/>
      </rPr>
      <t>ổ</t>
    </r>
    <r>
      <rPr>
        <b/>
        <sz val="11"/>
        <color theme="1"/>
        <rFont val="等线"/>
        <family val="2"/>
        <scheme val="minor"/>
      </rPr>
      <t>ng</t>
    </r>
    <r>
      <rPr>
        <b/>
        <sz val="11"/>
        <color theme="1"/>
        <rFont val="Calibri"/>
        <family val="2"/>
        <charset val="163"/>
      </rPr>
      <t xml:space="preserve"> giá Holcom</t>
    </r>
    <phoneticPr fontId="15" type="noConversion"/>
  </si>
  <si>
    <r>
      <t>T</t>
    </r>
    <r>
      <rPr>
        <b/>
        <sz val="11"/>
        <color theme="1"/>
        <rFont val="Calibri"/>
        <family val="2"/>
        <charset val="163"/>
      </rPr>
      <t>ỷ lệ</t>
    </r>
    <r>
      <rPr>
        <b/>
        <sz val="11"/>
        <color theme="1"/>
        <rFont val="Calibri"/>
        <family val="2"/>
      </rPr>
      <t xml:space="preserve"> Holcom/QM</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</si>
</sst>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76" formatCode="_(* #,##0_);_(* \(#,##0\);_(* &quot;-&quot;??_);_(@_)"/>
    <numFmt numFmtId="178" formatCode="_(* #,##0.000_);_(* \(#,##0.000\);_(* &quot;-&quot;??_);_(@_)"/>
  </numFmts>
  <fonts count="23" x14ac:knownFonts="1">
    <font>
      <sz val="11"/>
      <color theme="1"/>
      <name val="等线"/>
      <family val="2"/>
      <scheme val="minor"/>
    </font>
    <font>
      <sz val="11"/>
      <color theme="1"/>
      <name val="等线"/>
      <family val="2"/>
      <scheme val="minor"/>
    </font>
    <font>
      <sz val="12"/>
      <color rgb="FF000000"/>
      <name val="Times New Roman"/>
      <family val="1"/>
    </font>
    <font>
      <b/>
      <sz val="12"/>
      <color rgb="FF000000"/>
      <name val="Times New Roman"/>
      <family val="1"/>
    </font>
    <font>
      <sz val="10"/>
      <color rgb="FF000000"/>
      <name val="Times New Roman"/>
      <family val="1"/>
    </font>
    <font>
      <b/>
      <i/>
      <sz val="12"/>
      <color rgb="FF000000"/>
      <name val="Times New Roman"/>
      <family val="1"/>
    </font>
    <font>
      <b/>
      <sz val="16"/>
      <name val="Times New Roman"/>
      <family val="1"/>
    </font>
    <font>
      <sz val="12"/>
      <name val="Times New Roman"/>
      <family val="1"/>
    </font>
    <font>
      <b/>
      <sz val="12"/>
      <name val="Times New Roman"/>
      <family val="1"/>
    </font>
    <font>
      <i/>
      <sz val="12"/>
      <name val="Times New Roman"/>
      <family val="1"/>
    </font>
    <font>
      <sz val="12"/>
      <color rgb="FF000000"/>
      <name val="Times New Roman"/>
      <family val="2"/>
    </font>
    <font>
      <b/>
      <sz val="12"/>
      <color theme="1"/>
      <name val="Times New Roman"/>
      <family val="1"/>
    </font>
    <font>
      <sz val="12"/>
      <color theme="1"/>
      <name val="Times New Roman"/>
      <family val="1"/>
    </font>
    <font>
      <sz val="10"/>
      <color theme="1"/>
      <name val="Times New Roman"/>
      <family val="1"/>
    </font>
    <font>
      <b/>
      <sz val="14"/>
      <color theme="1"/>
      <name val="Times New Roman"/>
      <family val="1"/>
    </font>
    <font>
      <sz val="9"/>
      <name val="等线"/>
      <family val="3"/>
      <charset val="134"/>
      <scheme val="minor"/>
    </font>
    <font>
      <b/>
      <sz val="11"/>
      <color theme="1"/>
      <name val="等线"/>
      <family val="3"/>
      <charset val="134"/>
      <scheme val="minor"/>
    </font>
    <font>
      <b/>
      <sz val="11"/>
      <color theme="1"/>
      <name val="Calibri"/>
      <family val="2"/>
    </font>
    <font>
      <b/>
      <sz val="11"/>
      <color rgb="FFFF0000"/>
      <name val="Calibri"/>
      <family val="2"/>
      <charset val="163"/>
    </font>
    <font>
      <b/>
      <sz val="11"/>
      <color rgb="FFFF0000"/>
      <name val="等线"/>
      <family val="2"/>
      <scheme val="minor"/>
    </font>
    <font>
      <b/>
      <sz val="11"/>
      <color rgb="FFFF0000"/>
      <name val="等线"/>
      <family val="2"/>
      <charset val="134"/>
    </font>
    <font>
      <b/>
      <sz val="11"/>
      <color theme="1"/>
      <name val="Calibri"/>
      <family val="2"/>
      <charset val="163"/>
    </font>
    <font>
      <b/>
      <sz val="11"/>
      <color theme="1"/>
      <name val="等线"/>
      <family val="2"/>
      <scheme val="minor"/>
    </font>
  </fonts>
  <fills count="6">
    <fill>
      <patternFill patternType="none"/>
    </fill>
    <fill>
      <patternFill patternType="gray125"/>
    </fill>
    <fill>
      <patternFill patternType="solid">
        <fgColor rgb="FF91CCDB"/>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theme="1"/>
      </left>
      <right style="thin">
        <color theme="1"/>
      </right>
      <top style="thin">
        <color rgb="FF0070C0"/>
      </top>
      <bottom style="thin">
        <color rgb="FF0070C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alignment vertical="center"/>
    </xf>
  </cellStyleXfs>
  <cellXfs count="61">
    <xf numFmtId="0" fontId="0" fillId="0" borderId="0" xfId="0"/>
    <xf numFmtId="0" fontId="0" fillId="0" borderId="0" xfId="0" applyAlignment="1">
      <alignment horizontal="left" vertical="top"/>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left" vertical="center"/>
    </xf>
    <xf numFmtId="0" fontId="12" fillId="0" borderId="1" xfId="0" applyFont="1" applyBorder="1" applyAlignment="1">
      <alignment horizontal="left" vertical="center"/>
    </xf>
    <xf numFmtId="0" fontId="13" fillId="0" borderId="0" xfId="0" quotePrefix="1" applyFont="1"/>
    <xf numFmtId="176" fontId="0" fillId="0" borderId="0" xfId="1" applyNumberFormat="1" applyFont="1" applyAlignment="1">
      <alignment horizontal="left" vertical="top"/>
    </xf>
    <xf numFmtId="0" fontId="0" fillId="0" borderId="1" xfId="0" applyBorder="1" applyAlignment="1">
      <alignment horizontal="left" vertical="center" wrapText="1"/>
    </xf>
    <xf numFmtId="0" fontId="7" fillId="0" borderId="1" xfId="0" applyFont="1" applyBorder="1" applyAlignment="1">
      <alignment horizontal="center" vertical="center" wrapText="1"/>
    </xf>
    <xf numFmtId="3" fontId="10" fillId="0" borderId="1" xfId="0" applyNumberFormat="1" applyFont="1" applyBorder="1" applyAlignment="1">
      <alignment horizontal="right" vertical="center" shrinkToFit="1"/>
    </xf>
    <xf numFmtId="0" fontId="0" fillId="0" borderId="1" xfId="0" applyBorder="1" applyAlignment="1">
      <alignment horizontal="center" vertical="center" wrapText="1"/>
    </xf>
    <xf numFmtId="0" fontId="0" fillId="0" borderId="1" xfId="0" applyBorder="1" applyAlignment="1">
      <alignment horizontal="left" vertical="center"/>
    </xf>
    <xf numFmtId="0" fontId="7" fillId="0" borderId="3" xfId="0" applyFont="1" applyBorder="1" applyAlignment="1">
      <alignment horizontal="left" vertical="center" wrapText="1"/>
    </xf>
    <xf numFmtId="0" fontId="8" fillId="0" borderId="3" xfId="0" applyFont="1" applyBorder="1" applyAlignment="1">
      <alignment horizontal="left" vertical="center" wrapText="1"/>
    </xf>
    <xf numFmtId="0" fontId="8" fillId="2" borderId="1" xfId="0" applyFont="1" applyFill="1" applyBorder="1" applyAlignment="1">
      <alignment horizontal="center" vertical="center" wrapText="1"/>
    </xf>
    <xf numFmtId="1" fontId="10" fillId="0" borderId="1" xfId="0" applyNumberFormat="1" applyFont="1" applyBorder="1" applyAlignment="1">
      <alignment horizontal="center" vertical="center" shrinkToFit="1"/>
    </xf>
    <xf numFmtId="0" fontId="0" fillId="0" borderId="0" xfId="0" applyAlignment="1">
      <alignment horizontal="center" vertical="top"/>
    </xf>
    <xf numFmtId="0" fontId="4" fillId="0" borderId="0" xfId="0" applyFont="1" applyAlignment="1">
      <alignment horizontal="center" vertical="center" wrapText="1"/>
    </xf>
    <xf numFmtId="0" fontId="5" fillId="0" borderId="0" xfId="0" applyFont="1" applyAlignment="1">
      <alignment horizontal="right" vertical="center" wrapText="1"/>
    </xf>
    <xf numFmtId="14" fontId="2" fillId="0" borderId="0" xfId="0" applyNumberFormat="1" applyFont="1" applyAlignment="1">
      <alignment horizontal="right" vertical="center" wrapText="1"/>
    </xf>
    <xf numFmtId="0" fontId="3" fillId="2" borderId="1" xfId="0" applyFont="1" applyFill="1" applyBorder="1" applyAlignment="1">
      <alignment horizontal="center" vertical="center" wrapText="1"/>
    </xf>
    <xf numFmtId="3" fontId="10" fillId="0" borderId="4" xfId="0" applyNumberFormat="1" applyFont="1" applyBorder="1" applyAlignment="1">
      <alignment horizontal="right" vertical="center" shrinkToFit="1"/>
    </xf>
    <xf numFmtId="0" fontId="7" fillId="0" borderId="4" xfId="0" applyFont="1" applyBorder="1" applyAlignment="1">
      <alignment horizontal="right" vertical="center" wrapText="1"/>
    </xf>
    <xf numFmtId="176" fontId="7" fillId="0" borderId="4" xfId="1" applyNumberFormat="1" applyFont="1" applyBorder="1" applyAlignment="1">
      <alignment horizontal="right" vertical="center" wrapText="1"/>
    </xf>
    <xf numFmtId="9" fontId="0" fillId="0" borderId="0" xfId="0" applyNumberFormat="1" applyAlignment="1">
      <alignment horizontal="center" vertical="center"/>
    </xf>
    <xf numFmtId="43" fontId="0" fillId="0" borderId="0" xfId="0" applyNumberFormat="1" applyAlignment="1">
      <alignment horizontal="left" vertical="top"/>
    </xf>
    <xf numFmtId="0" fontId="17" fillId="0" borderId="0" xfId="0" applyFont="1" applyAlignment="1">
      <alignment horizontal="center" vertical="center"/>
    </xf>
    <xf numFmtId="0" fontId="0" fillId="3" borderId="0" xfId="0" applyFill="1" applyAlignment="1">
      <alignment horizontal="left" vertical="top"/>
    </xf>
    <xf numFmtId="0" fontId="17" fillId="3" borderId="0" xfId="0" applyFont="1" applyFill="1" applyAlignment="1">
      <alignment horizontal="center" vertical="center"/>
    </xf>
    <xf numFmtId="10" fontId="0" fillId="0" borderId="0" xfId="2" applyNumberFormat="1" applyFont="1" applyAlignment="1">
      <alignment horizontal="left" vertical="top"/>
    </xf>
    <xf numFmtId="43" fontId="0" fillId="0" borderId="0" xfId="1" applyFont="1" applyAlignment="1">
      <alignment vertical="center"/>
    </xf>
    <xf numFmtId="176" fontId="0" fillId="0" borderId="0" xfId="1" applyNumberFormat="1" applyFont="1" applyAlignment="1">
      <alignment vertical="center"/>
    </xf>
    <xf numFmtId="0" fontId="0" fillId="0" borderId="0" xfId="0" applyAlignment="1">
      <alignment vertical="center"/>
    </xf>
    <xf numFmtId="0" fontId="0" fillId="3" borderId="0" xfId="0" applyFill="1" applyAlignment="1">
      <alignment vertical="center"/>
    </xf>
    <xf numFmtId="176" fontId="16" fillId="3" borderId="0" xfId="1" applyNumberFormat="1" applyFont="1" applyFill="1" applyAlignment="1">
      <alignment vertical="center"/>
    </xf>
    <xf numFmtId="0" fontId="0" fillId="4" borderId="0" xfId="0" applyFill="1" applyAlignment="1">
      <alignment vertical="center"/>
    </xf>
    <xf numFmtId="43" fontId="0" fillId="4" borderId="0" xfId="1" applyFont="1" applyFill="1" applyAlignment="1">
      <alignment vertical="center"/>
    </xf>
    <xf numFmtId="0" fontId="18" fillId="5" borderId="0" xfId="0" applyFont="1" applyFill="1" applyAlignment="1">
      <alignment horizontal="center" vertical="center" wrapText="1"/>
    </xf>
    <xf numFmtId="0" fontId="19" fillId="5" borderId="0" xfId="0" applyFont="1" applyFill="1" applyAlignment="1">
      <alignment horizontal="left" vertical="center" wrapText="1"/>
    </xf>
    <xf numFmtId="176" fontId="19" fillId="5" borderId="0" xfId="1" applyNumberFormat="1" applyFont="1" applyFill="1" applyAlignment="1">
      <alignment horizontal="center" vertical="center"/>
    </xf>
    <xf numFmtId="0" fontId="19" fillId="5" borderId="0" xfId="0" applyFont="1" applyFill="1" applyAlignment="1">
      <alignment horizontal="left" vertical="top"/>
    </xf>
    <xf numFmtId="0" fontId="21" fillId="0" borderId="0" xfId="0" applyFont="1" applyAlignment="1">
      <alignment horizontal="center" vertical="center"/>
    </xf>
    <xf numFmtId="0" fontId="21" fillId="0" borderId="0" xfId="0" applyFont="1" applyAlignment="1">
      <alignment horizontal="center" vertical="center" wrapText="1"/>
    </xf>
    <xf numFmtId="0" fontId="22" fillId="0" borderId="0" xfId="0" applyFont="1" applyAlignment="1">
      <alignment horizontal="center" vertical="center"/>
    </xf>
    <xf numFmtId="176" fontId="19" fillId="5" borderId="0" xfId="1" applyNumberFormat="1" applyFont="1" applyFill="1" applyAlignment="1">
      <alignment horizontal="left" vertical="center"/>
    </xf>
    <xf numFmtId="0" fontId="14" fillId="0" borderId="2" xfId="0" quotePrefix="1" applyFont="1" applyBorder="1" applyAlignment="1">
      <alignment horizontal="center" vertical="center" wrapText="1"/>
    </xf>
    <xf numFmtId="0" fontId="11" fillId="0" borderId="1" xfId="0" applyFont="1" applyBorder="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1" fontId="10" fillId="0" borderId="1" xfId="0" applyNumberFormat="1" applyFont="1" applyBorder="1" applyAlignment="1">
      <alignment horizontal="left" vertical="center" shrinkToFit="1"/>
    </xf>
    <xf numFmtId="0" fontId="0" fillId="0" borderId="1" xfId="0" applyBorder="1" applyAlignment="1">
      <alignment horizontal="left" vertical="center" wrapText="1"/>
    </xf>
    <xf numFmtId="0" fontId="0" fillId="0" borderId="0" xfId="0" applyAlignment="1">
      <alignment horizontal="center" vertical="top"/>
    </xf>
    <xf numFmtId="0" fontId="2" fillId="0" borderId="0" xfId="0" applyFont="1" applyAlignment="1">
      <alignment horizontal="left" vertical="center" wrapText="1"/>
    </xf>
    <xf numFmtId="0" fontId="6" fillId="0" borderId="0" xfId="0" applyFont="1" applyAlignment="1">
      <alignment horizontal="center" vertical="center" wrapText="1"/>
    </xf>
    <xf numFmtId="0" fontId="7" fillId="0" borderId="0" xfId="0" applyFont="1" applyAlignment="1">
      <alignment horizontal="left" vertical="center" wrapText="1"/>
    </xf>
    <xf numFmtId="0" fontId="0" fillId="0" borderId="0" xfId="0" applyAlignment="1">
      <alignment horizontal="left" vertical="center" wrapText="1"/>
    </xf>
    <xf numFmtId="1" fontId="10" fillId="0" borderId="1" xfId="0" applyNumberFormat="1" applyFont="1" applyBorder="1" applyAlignment="1">
      <alignment horizontal="center" vertical="center" shrinkToFit="1"/>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178" fontId="0" fillId="0" borderId="0" xfId="1" applyNumberFormat="1" applyFont="1" applyAlignment="1">
      <alignment horizontal="left" vertical="top"/>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1.png"/><Relationship Id="rId2" Type="http://schemas.openxmlformats.org/officeDocument/2006/relationships/image" Target="../media/image2.png"/><Relationship Id="rId16"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14.png"/><Relationship Id="rId10" Type="http://schemas.microsoft.com/office/2007/relationships/hdphoto" Target="../media/hdphoto1.wdp"/><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3.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1.png"/><Relationship Id="rId2" Type="http://schemas.openxmlformats.org/officeDocument/2006/relationships/image" Target="../media/image2.png"/><Relationship Id="rId16"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14.png"/><Relationship Id="rId10" Type="http://schemas.microsoft.com/office/2007/relationships/hdphoto" Target="../media/hdphoto1.wdp"/><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1.png"/><Relationship Id="rId2" Type="http://schemas.openxmlformats.org/officeDocument/2006/relationships/image" Target="../media/image2.png"/><Relationship Id="rId16"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14.png"/><Relationship Id="rId10" Type="http://schemas.microsoft.com/office/2007/relationships/hdphoto" Target="../media/hdphoto1.wdp"/><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1.png"/><Relationship Id="rId2" Type="http://schemas.openxmlformats.org/officeDocument/2006/relationships/image" Target="../media/image2.png"/><Relationship Id="rId16"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14.png"/><Relationship Id="rId10" Type="http://schemas.microsoft.com/office/2007/relationships/hdphoto" Target="../media/hdphoto1.wdp"/><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198120</xdr:colOff>
      <xdr:row>0</xdr:row>
      <xdr:rowOff>182880</xdr:rowOff>
    </xdr:from>
    <xdr:to>
      <xdr:col>1</xdr:col>
      <xdr:colOff>1938020</xdr:colOff>
      <xdr:row>0</xdr:row>
      <xdr:rowOff>1109980</xdr:rowOff>
    </xdr:to>
    <xdr:pic>
      <xdr:nvPicPr>
        <xdr:cNvPr id="20" name="Picture 19">
          <a:extLst>
            <a:ext uri="{FF2B5EF4-FFF2-40B4-BE49-F238E27FC236}">
              <a16:creationId xmlns:a16="http://schemas.microsoft.com/office/drawing/2014/main" id="{741DB389-CB73-4DC9-A118-9EEAB4BF2786}"/>
            </a:ext>
          </a:extLst>
        </xdr:cNvPr>
        <xdr:cNvPicPr>
          <a:picLocks noChangeAspect="1"/>
        </xdr:cNvPicPr>
      </xdr:nvPicPr>
      <xdr:blipFill>
        <a:blip xmlns:r="http://schemas.openxmlformats.org/officeDocument/2006/relationships" r:embed="rId1"/>
        <a:stretch>
          <a:fillRect/>
        </a:stretch>
      </xdr:blipFill>
      <xdr:spPr>
        <a:xfrm>
          <a:off x="198120" y="182880"/>
          <a:ext cx="2113280" cy="927100"/>
        </a:xfrm>
        <a:prstGeom prst="rect">
          <a:avLst/>
        </a:prstGeom>
      </xdr:spPr>
    </xdr:pic>
    <xdr:clientData/>
  </xdr:twoCellAnchor>
  <xdr:twoCellAnchor editAs="oneCell">
    <xdr:from>
      <xdr:col>2</xdr:col>
      <xdr:colOff>76200</xdr:colOff>
      <xdr:row>5</xdr:row>
      <xdr:rowOff>45721</xdr:rowOff>
    </xdr:from>
    <xdr:to>
      <xdr:col>2</xdr:col>
      <xdr:colOff>1935480</xdr:colOff>
      <xdr:row>5</xdr:row>
      <xdr:rowOff>1554481</xdr:rowOff>
    </xdr:to>
    <xdr:pic>
      <xdr:nvPicPr>
        <xdr:cNvPr id="21" name="Hình ảnh 20">
          <a:extLst>
            <a:ext uri="{FF2B5EF4-FFF2-40B4-BE49-F238E27FC236}">
              <a16:creationId xmlns:a16="http://schemas.microsoft.com/office/drawing/2014/main" id="{8213370E-BC97-4596-946A-FD7265EEB925}"/>
            </a:ext>
          </a:extLst>
        </xdr:cNvPr>
        <xdr:cNvPicPr>
          <a:picLocks noChangeAspect="1"/>
        </xdr:cNvPicPr>
      </xdr:nvPicPr>
      <xdr:blipFill>
        <a:blip xmlns:r="http://schemas.openxmlformats.org/officeDocument/2006/relationships" r:embed="rId2"/>
        <a:stretch>
          <a:fillRect/>
        </a:stretch>
      </xdr:blipFill>
      <xdr:spPr>
        <a:xfrm>
          <a:off x="2667000" y="3596641"/>
          <a:ext cx="1859280" cy="1508760"/>
        </a:xfrm>
        <a:prstGeom prst="rect">
          <a:avLst/>
        </a:prstGeom>
      </xdr:spPr>
    </xdr:pic>
    <xdr:clientData/>
  </xdr:twoCellAnchor>
  <xdr:twoCellAnchor editAs="oneCell">
    <xdr:from>
      <xdr:col>2</xdr:col>
      <xdr:colOff>68580</xdr:colOff>
      <xdr:row>6</xdr:row>
      <xdr:rowOff>53340</xdr:rowOff>
    </xdr:from>
    <xdr:to>
      <xdr:col>2</xdr:col>
      <xdr:colOff>1927860</xdr:colOff>
      <xdr:row>6</xdr:row>
      <xdr:rowOff>1562100</xdr:rowOff>
    </xdr:to>
    <xdr:pic>
      <xdr:nvPicPr>
        <xdr:cNvPr id="22" name="Hình ảnh 21">
          <a:extLst>
            <a:ext uri="{FF2B5EF4-FFF2-40B4-BE49-F238E27FC236}">
              <a16:creationId xmlns:a16="http://schemas.microsoft.com/office/drawing/2014/main" id="{53C11EA1-02E4-44E9-A21E-C88276726BF2}"/>
            </a:ext>
          </a:extLst>
        </xdr:cNvPr>
        <xdr:cNvPicPr>
          <a:picLocks noChangeAspect="1"/>
        </xdr:cNvPicPr>
      </xdr:nvPicPr>
      <xdr:blipFill>
        <a:blip xmlns:r="http://schemas.openxmlformats.org/officeDocument/2006/relationships" r:embed="rId2"/>
        <a:stretch>
          <a:fillRect/>
        </a:stretch>
      </xdr:blipFill>
      <xdr:spPr>
        <a:xfrm>
          <a:off x="2659380" y="5181600"/>
          <a:ext cx="1859280" cy="1508760"/>
        </a:xfrm>
        <a:prstGeom prst="rect">
          <a:avLst/>
        </a:prstGeom>
      </xdr:spPr>
    </xdr:pic>
    <xdr:clientData/>
  </xdr:twoCellAnchor>
  <xdr:twoCellAnchor editAs="oneCell">
    <xdr:from>
      <xdr:col>2</xdr:col>
      <xdr:colOff>91440</xdr:colOff>
      <xdr:row>7</xdr:row>
      <xdr:rowOff>45720</xdr:rowOff>
    </xdr:from>
    <xdr:to>
      <xdr:col>2</xdr:col>
      <xdr:colOff>1950720</xdr:colOff>
      <xdr:row>7</xdr:row>
      <xdr:rowOff>1554480</xdr:rowOff>
    </xdr:to>
    <xdr:pic>
      <xdr:nvPicPr>
        <xdr:cNvPr id="23" name="Hình ảnh 22">
          <a:extLst>
            <a:ext uri="{FF2B5EF4-FFF2-40B4-BE49-F238E27FC236}">
              <a16:creationId xmlns:a16="http://schemas.microsoft.com/office/drawing/2014/main" id="{8E04E87E-81B2-49C1-950C-CE6313E8DB30}"/>
            </a:ext>
          </a:extLst>
        </xdr:cNvPr>
        <xdr:cNvPicPr>
          <a:picLocks noChangeAspect="1"/>
        </xdr:cNvPicPr>
      </xdr:nvPicPr>
      <xdr:blipFill>
        <a:blip xmlns:r="http://schemas.openxmlformats.org/officeDocument/2006/relationships" r:embed="rId2"/>
        <a:stretch>
          <a:fillRect/>
        </a:stretch>
      </xdr:blipFill>
      <xdr:spPr>
        <a:xfrm>
          <a:off x="2682240" y="6751320"/>
          <a:ext cx="1859280" cy="1508760"/>
        </a:xfrm>
        <a:prstGeom prst="rect">
          <a:avLst/>
        </a:prstGeom>
      </xdr:spPr>
    </xdr:pic>
    <xdr:clientData/>
  </xdr:twoCellAnchor>
  <xdr:twoCellAnchor editAs="oneCell">
    <xdr:from>
      <xdr:col>2</xdr:col>
      <xdr:colOff>99060</xdr:colOff>
      <xdr:row>8</xdr:row>
      <xdr:rowOff>60960</xdr:rowOff>
    </xdr:from>
    <xdr:to>
      <xdr:col>2</xdr:col>
      <xdr:colOff>1958340</xdr:colOff>
      <xdr:row>8</xdr:row>
      <xdr:rowOff>1569720</xdr:rowOff>
    </xdr:to>
    <xdr:pic>
      <xdr:nvPicPr>
        <xdr:cNvPr id="24" name="Hình ảnh 23">
          <a:extLst>
            <a:ext uri="{FF2B5EF4-FFF2-40B4-BE49-F238E27FC236}">
              <a16:creationId xmlns:a16="http://schemas.microsoft.com/office/drawing/2014/main" id="{42574F35-26D7-4C4D-80F7-1DEFB1BE2475}"/>
            </a:ext>
          </a:extLst>
        </xdr:cNvPr>
        <xdr:cNvPicPr>
          <a:picLocks noChangeAspect="1"/>
        </xdr:cNvPicPr>
      </xdr:nvPicPr>
      <xdr:blipFill>
        <a:blip xmlns:r="http://schemas.openxmlformats.org/officeDocument/2006/relationships" r:embed="rId2"/>
        <a:stretch>
          <a:fillRect/>
        </a:stretch>
      </xdr:blipFill>
      <xdr:spPr>
        <a:xfrm>
          <a:off x="2689860" y="8343900"/>
          <a:ext cx="1859280" cy="1508760"/>
        </a:xfrm>
        <a:prstGeom prst="rect">
          <a:avLst/>
        </a:prstGeom>
      </xdr:spPr>
    </xdr:pic>
    <xdr:clientData/>
  </xdr:twoCellAnchor>
  <xdr:twoCellAnchor editAs="oneCell">
    <xdr:from>
      <xdr:col>2</xdr:col>
      <xdr:colOff>556260</xdr:colOff>
      <xdr:row>23</xdr:row>
      <xdr:rowOff>106680</xdr:rowOff>
    </xdr:from>
    <xdr:to>
      <xdr:col>2</xdr:col>
      <xdr:colOff>1394533</xdr:colOff>
      <xdr:row>23</xdr:row>
      <xdr:rowOff>845884</xdr:rowOff>
    </xdr:to>
    <xdr:pic>
      <xdr:nvPicPr>
        <xdr:cNvPr id="25" name="Hình ảnh 24">
          <a:extLst>
            <a:ext uri="{FF2B5EF4-FFF2-40B4-BE49-F238E27FC236}">
              <a16:creationId xmlns:a16="http://schemas.microsoft.com/office/drawing/2014/main" id="{F8299821-32AA-4C81-9DC4-4DEAAFE4084F}"/>
            </a:ext>
          </a:extLst>
        </xdr:cNvPr>
        <xdr:cNvPicPr>
          <a:picLocks noChangeAspect="1"/>
        </xdr:cNvPicPr>
      </xdr:nvPicPr>
      <xdr:blipFill>
        <a:blip xmlns:r="http://schemas.openxmlformats.org/officeDocument/2006/relationships" r:embed="rId3"/>
        <a:stretch>
          <a:fillRect/>
        </a:stretch>
      </xdr:blipFill>
      <xdr:spPr>
        <a:xfrm>
          <a:off x="3147060" y="26258520"/>
          <a:ext cx="838273" cy="739204"/>
        </a:xfrm>
        <a:prstGeom prst="rect">
          <a:avLst/>
        </a:prstGeom>
      </xdr:spPr>
    </xdr:pic>
    <xdr:clientData/>
  </xdr:twoCellAnchor>
  <xdr:twoCellAnchor editAs="oneCell">
    <xdr:from>
      <xdr:col>2</xdr:col>
      <xdr:colOff>411479</xdr:colOff>
      <xdr:row>20</xdr:row>
      <xdr:rowOff>53340</xdr:rowOff>
    </xdr:from>
    <xdr:to>
      <xdr:col>2</xdr:col>
      <xdr:colOff>1576958</xdr:colOff>
      <xdr:row>20</xdr:row>
      <xdr:rowOff>929640</xdr:rowOff>
    </xdr:to>
    <xdr:pic>
      <xdr:nvPicPr>
        <xdr:cNvPr id="26" name="Hình ảnh 25">
          <a:extLst>
            <a:ext uri="{FF2B5EF4-FFF2-40B4-BE49-F238E27FC236}">
              <a16:creationId xmlns:a16="http://schemas.microsoft.com/office/drawing/2014/main" id="{1E849CC1-F4D0-4799-9FB6-59289CB7E3B6}"/>
            </a:ext>
          </a:extLst>
        </xdr:cNvPr>
        <xdr:cNvPicPr>
          <a:picLocks noChangeAspect="1"/>
        </xdr:cNvPicPr>
      </xdr:nvPicPr>
      <xdr:blipFill>
        <a:blip xmlns:r="http://schemas.openxmlformats.org/officeDocument/2006/relationships" r:embed="rId4"/>
        <a:stretch>
          <a:fillRect/>
        </a:stretch>
      </xdr:blipFill>
      <xdr:spPr>
        <a:xfrm>
          <a:off x="3002279" y="23256240"/>
          <a:ext cx="1165479" cy="876300"/>
        </a:xfrm>
        <a:prstGeom prst="rect">
          <a:avLst/>
        </a:prstGeom>
      </xdr:spPr>
    </xdr:pic>
    <xdr:clientData/>
  </xdr:twoCellAnchor>
  <xdr:twoCellAnchor editAs="oneCell">
    <xdr:from>
      <xdr:col>2</xdr:col>
      <xdr:colOff>15240</xdr:colOff>
      <xdr:row>10</xdr:row>
      <xdr:rowOff>53339</xdr:rowOff>
    </xdr:from>
    <xdr:to>
      <xdr:col>2</xdr:col>
      <xdr:colOff>1973580</xdr:colOff>
      <xdr:row>11</xdr:row>
      <xdr:rowOff>855767</xdr:rowOff>
    </xdr:to>
    <xdr:pic>
      <xdr:nvPicPr>
        <xdr:cNvPr id="27" name="Hình ảnh 26">
          <a:extLst>
            <a:ext uri="{FF2B5EF4-FFF2-40B4-BE49-F238E27FC236}">
              <a16:creationId xmlns:a16="http://schemas.microsoft.com/office/drawing/2014/main" id="{1216A766-E72A-4024-8029-6C070549093D}"/>
            </a:ext>
          </a:extLst>
        </xdr:cNvPr>
        <xdr:cNvPicPr>
          <a:picLocks noChangeAspect="1"/>
        </xdr:cNvPicPr>
      </xdr:nvPicPr>
      <xdr:blipFill>
        <a:blip xmlns:r="http://schemas.openxmlformats.org/officeDocument/2006/relationships" r:embed="rId5"/>
        <a:stretch>
          <a:fillRect/>
        </a:stretch>
      </xdr:blipFill>
      <xdr:spPr>
        <a:xfrm>
          <a:off x="2606040" y="11300459"/>
          <a:ext cx="1958340" cy="1716828"/>
        </a:xfrm>
        <a:prstGeom prst="rect">
          <a:avLst/>
        </a:prstGeom>
      </xdr:spPr>
    </xdr:pic>
    <xdr:clientData/>
  </xdr:twoCellAnchor>
  <xdr:twoCellAnchor editAs="oneCell">
    <xdr:from>
      <xdr:col>2</xdr:col>
      <xdr:colOff>129540</xdr:colOff>
      <xdr:row>9</xdr:row>
      <xdr:rowOff>27369</xdr:rowOff>
    </xdr:from>
    <xdr:to>
      <xdr:col>2</xdr:col>
      <xdr:colOff>1874520</xdr:colOff>
      <xdr:row>10</xdr:row>
      <xdr:rowOff>2582</xdr:rowOff>
    </xdr:to>
    <xdr:pic>
      <xdr:nvPicPr>
        <xdr:cNvPr id="28" name="Hình ảnh 27">
          <a:extLst>
            <a:ext uri="{FF2B5EF4-FFF2-40B4-BE49-F238E27FC236}">
              <a16:creationId xmlns:a16="http://schemas.microsoft.com/office/drawing/2014/main" id="{8B1A5DD4-CC32-4AD4-A9D2-9FAAB1A55E1B}"/>
            </a:ext>
          </a:extLst>
        </xdr:cNvPr>
        <xdr:cNvPicPr>
          <a:picLocks noChangeAspect="1"/>
        </xdr:cNvPicPr>
      </xdr:nvPicPr>
      <xdr:blipFill>
        <a:blip xmlns:r="http://schemas.openxmlformats.org/officeDocument/2006/relationships" r:embed="rId6"/>
        <a:stretch>
          <a:fillRect/>
        </a:stretch>
      </xdr:blipFill>
      <xdr:spPr>
        <a:xfrm>
          <a:off x="2720340" y="9887649"/>
          <a:ext cx="1744980" cy="1362054"/>
        </a:xfrm>
        <a:prstGeom prst="rect">
          <a:avLst/>
        </a:prstGeom>
      </xdr:spPr>
    </xdr:pic>
    <xdr:clientData/>
  </xdr:twoCellAnchor>
  <xdr:twoCellAnchor editAs="oneCell">
    <xdr:from>
      <xdr:col>2</xdr:col>
      <xdr:colOff>118399</xdr:colOff>
      <xdr:row>25</xdr:row>
      <xdr:rowOff>289560</xdr:rowOff>
    </xdr:from>
    <xdr:to>
      <xdr:col>2</xdr:col>
      <xdr:colOff>1950959</xdr:colOff>
      <xdr:row>28</xdr:row>
      <xdr:rowOff>320223</xdr:rowOff>
    </xdr:to>
    <xdr:pic>
      <xdr:nvPicPr>
        <xdr:cNvPr id="29" name="Hình ảnh 28">
          <a:extLst>
            <a:ext uri="{FF2B5EF4-FFF2-40B4-BE49-F238E27FC236}">
              <a16:creationId xmlns:a16="http://schemas.microsoft.com/office/drawing/2014/main" id="{6B87214F-80D5-4A61-83C0-217FFDCEE0D2}"/>
            </a:ext>
          </a:extLst>
        </xdr:cNvPr>
        <xdr:cNvPicPr>
          <a:picLocks noChangeAspect="1"/>
        </xdr:cNvPicPr>
      </xdr:nvPicPr>
      <xdr:blipFill>
        <a:blip xmlns:r="http://schemas.openxmlformats.org/officeDocument/2006/relationships" r:embed="rId7"/>
        <a:stretch>
          <a:fillRect/>
        </a:stretch>
      </xdr:blipFill>
      <xdr:spPr>
        <a:xfrm>
          <a:off x="2709199" y="28765500"/>
          <a:ext cx="1832560" cy="1402263"/>
        </a:xfrm>
        <a:prstGeom prst="rect">
          <a:avLst/>
        </a:prstGeom>
      </xdr:spPr>
    </xdr:pic>
    <xdr:clientData/>
  </xdr:twoCellAnchor>
  <xdr:twoCellAnchor editAs="oneCell">
    <xdr:from>
      <xdr:col>2</xdr:col>
      <xdr:colOff>60960</xdr:colOff>
      <xdr:row>24</xdr:row>
      <xdr:rowOff>29187</xdr:rowOff>
    </xdr:from>
    <xdr:to>
      <xdr:col>2</xdr:col>
      <xdr:colOff>1951032</xdr:colOff>
      <xdr:row>24</xdr:row>
      <xdr:rowOff>1394684</xdr:rowOff>
    </xdr:to>
    <xdr:pic>
      <xdr:nvPicPr>
        <xdr:cNvPr id="30" name="Hình ảnh 29">
          <a:extLst>
            <a:ext uri="{FF2B5EF4-FFF2-40B4-BE49-F238E27FC236}">
              <a16:creationId xmlns:a16="http://schemas.microsoft.com/office/drawing/2014/main" id="{8CFD5EF1-8D04-45A9-BF47-2728D1DEBED1}"/>
            </a:ext>
          </a:extLst>
        </xdr:cNvPr>
        <xdr:cNvPicPr>
          <a:picLocks noChangeAspect="1"/>
        </xdr:cNvPicPr>
      </xdr:nvPicPr>
      <xdr:blipFill>
        <a:blip xmlns:r="http://schemas.openxmlformats.org/officeDocument/2006/relationships" r:embed="rId8"/>
        <a:stretch>
          <a:fillRect/>
        </a:stretch>
      </xdr:blipFill>
      <xdr:spPr>
        <a:xfrm>
          <a:off x="2651760" y="27095427"/>
          <a:ext cx="1890072" cy="1365497"/>
        </a:xfrm>
        <a:prstGeom prst="rect">
          <a:avLst/>
        </a:prstGeom>
      </xdr:spPr>
    </xdr:pic>
    <xdr:clientData/>
  </xdr:twoCellAnchor>
  <xdr:twoCellAnchor editAs="oneCell">
    <xdr:from>
      <xdr:col>2</xdr:col>
      <xdr:colOff>126724</xdr:colOff>
      <xdr:row>19</xdr:row>
      <xdr:rowOff>0</xdr:rowOff>
    </xdr:from>
    <xdr:to>
      <xdr:col>2</xdr:col>
      <xdr:colOff>1874519</xdr:colOff>
      <xdr:row>20</xdr:row>
      <xdr:rowOff>68579</xdr:rowOff>
    </xdr:to>
    <xdr:pic>
      <xdr:nvPicPr>
        <xdr:cNvPr id="31" name="Hình ảnh 30">
          <a:extLst>
            <a:ext uri="{FF2B5EF4-FFF2-40B4-BE49-F238E27FC236}">
              <a16:creationId xmlns:a16="http://schemas.microsoft.com/office/drawing/2014/main" id="{C34AE79A-65DB-429C-9B69-CF20399F2F4D}"/>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5618" b="90449" l="8209" r="88806">
                      <a14:foregroundMark x1="14552" y1="30337" x2="29851" y2="38202"/>
                      <a14:foregroundMark x1="28731" y1="14607" x2="47015" y2="14607"/>
                      <a14:foregroundMark x1="36194" y1="6180" x2="47388" y2="7303"/>
                      <a14:foregroundMark x1="8955" y1="37640" x2="12313" y2="47191"/>
                      <a14:foregroundMark x1="41791" y1="83708" x2="34701" y2="91011"/>
                      <a14:foregroundMark x1="17164" y1="5618" x2="44776" y2="6180"/>
                    </a14:backgroundRemoval>
                  </a14:imgEffect>
                </a14:imgLayer>
              </a14:imgProps>
            </a:ext>
            <a:ext uri="{28A0092B-C50C-407E-A947-70E740481C1C}">
              <a14:useLocalDpi xmlns:a14="http://schemas.microsoft.com/office/drawing/2010/main" val="0"/>
            </a:ext>
          </a:extLst>
        </a:blip>
        <a:srcRect/>
        <a:stretch>
          <a:fillRect/>
        </a:stretch>
      </xdr:blipFill>
      <xdr:spPr bwMode="auto">
        <a:xfrm>
          <a:off x="2717524" y="22113240"/>
          <a:ext cx="1747795" cy="1158240"/>
        </a:xfrm>
        <a:prstGeom prst="rect">
          <a:avLst/>
        </a:prstGeom>
        <a:noFill/>
        <a:ln>
          <a:noFill/>
        </a:ln>
      </xdr:spPr>
    </xdr:pic>
    <xdr:clientData/>
  </xdr:twoCellAnchor>
  <xdr:twoCellAnchor editAs="oneCell">
    <xdr:from>
      <xdr:col>2</xdr:col>
      <xdr:colOff>373380</xdr:colOff>
      <xdr:row>18</xdr:row>
      <xdr:rowOff>68203</xdr:rowOff>
    </xdr:from>
    <xdr:to>
      <xdr:col>2</xdr:col>
      <xdr:colOff>1729914</xdr:colOff>
      <xdr:row>18</xdr:row>
      <xdr:rowOff>1280315</xdr:rowOff>
    </xdr:to>
    <xdr:pic>
      <xdr:nvPicPr>
        <xdr:cNvPr id="32" name="Hình ảnh 31">
          <a:extLst>
            <a:ext uri="{FF2B5EF4-FFF2-40B4-BE49-F238E27FC236}">
              <a16:creationId xmlns:a16="http://schemas.microsoft.com/office/drawing/2014/main" id="{523C2849-10C9-4611-84F6-8A344B9AFF6C}"/>
            </a:ext>
          </a:extLst>
        </xdr:cNvPr>
        <xdr:cNvPicPr>
          <a:picLocks noChangeAspect="1"/>
        </xdr:cNvPicPr>
      </xdr:nvPicPr>
      <xdr:blipFill>
        <a:blip xmlns:r="http://schemas.openxmlformats.org/officeDocument/2006/relationships" r:embed="rId11"/>
        <a:stretch>
          <a:fillRect/>
        </a:stretch>
      </xdr:blipFill>
      <xdr:spPr>
        <a:xfrm>
          <a:off x="2964180" y="20878423"/>
          <a:ext cx="1356534" cy="1212112"/>
        </a:xfrm>
        <a:prstGeom prst="rect">
          <a:avLst/>
        </a:prstGeom>
      </xdr:spPr>
    </xdr:pic>
    <xdr:clientData/>
  </xdr:twoCellAnchor>
  <xdr:twoCellAnchor editAs="oneCell">
    <xdr:from>
      <xdr:col>2</xdr:col>
      <xdr:colOff>29934</xdr:colOff>
      <xdr:row>12</xdr:row>
      <xdr:rowOff>83819</xdr:rowOff>
    </xdr:from>
    <xdr:to>
      <xdr:col>3</xdr:col>
      <xdr:colOff>265</xdr:colOff>
      <xdr:row>12</xdr:row>
      <xdr:rowOff>1112658</xdr:rowOff>
    </xdr:to>
    <xdr:pic>
      <xdr:nvPicPr>
        <xdr:cNvPr id="33" name="Hình ảnh 32">
          <a:extLst>
            <a:ext uri="{FF2B5EF4-FFF2-40B4-BE49-F238E27FC236}">
              <a16:creationId xmlns:a16="http://schemas.microsoft.com/office/drawing/2014/main" id="{767D8E75-E588-4193-86D3-EC76ED82387C}"/>
            </a:ext>
          </a:extLst>
        </xdr:cNvPr>
        <xdr:cNvPicPr>
          <a:picLocks noChangeAspect="1"/>
        </xdr:cNvPicPr>
      </xdr:nvPicPr>
      <xdr:blipFill>
        <a:blip xmlns:r="http://schemas.openxmlformats.org/officeDocument/2006/relationships" r:embed="rId12"/>
        <a:stretch>
          <a:fillRect/>
        </a:stretch>
      </xdr:blipFill>
      <xdr:spPr>
        <a:xfrm>
          <a:off x="2620734" y="13159739"/>
          <a:ext cx="1974391" cy="1028839"/>
        </a:xfrm>
        <a:prstGeom prst="rect">
          <a:avLst/>
        </a:prstGeom>
      </xdr:spPr>
    </xdr:pic>
    <xdr:clientData/>
  </xdr:twoCellAnchor>
  <xdr:twoCellAnchor editAs="oneCell">
    <xdr:from>
      <xdr:col>2</xdr:col>
      <xdr:colOff>121920</xdr:colOff>
      <xdr:row>13</xdr:row>
      <xdr:rowOff>69589</xdr:rowOff>
    </xdr:from>
    <xdr:to>
      <xdr:col>2</xdr:col>
      <xdr:colOff>1707079</xdr:colOff>
      <xdr:row>13</xdr:row>
      <xdr:rowOff>1623255</xdr:rowOff>
    </xdr:to>
    <xdr:pic>
      <xdr:nvPicPr>
        <xdr:cNvPr id="34" name="Hình ảnh 33">
          <a:extLst>
            <a:ext uri="{FF2B5EF4-FFF2-40B4-BE49-F238E27FC236}">
              <a16:creationId xmlns:a16="http://schemas.microsoft.com/office/drawing/2014/main" id="{ED5677A4-DF43-4230-A29A-AC250C7CF30F}"/>
            </a:ext>
          </a:extLst>
        </xdr:cNvPr>
        <xdr:cNvPicPr>
          <a:picLocks noChangeAspect="1"/>
        </xdr:cNvPicPr>
      </xdr:nvPicPr>
      <xdr:blipFill>
        <a:blip xmlns:r="http://schemas.openxmlformats.org/officeDocument/2006/relationships" r:embed="rId13"/>
        <a:stretch>
          <a:fillRect/>
        </a:stretch>
      </xdr:blipFill>
      <xdr:spPr>
        <a:xfrm>
          <a:off x="2712720" y="14334229"/>
          <a:ext cx="1585159" cy="1553666"/>
        </a:xfrm>
        <a:prstGeom prst="rect">
          <a:avLst/>
        </a:prstGeom>
      </xdr:spPr>
    </xdr:pic>
    <xdr:clientData/>
  </xdr:twoCellAnchor>
  <xdr:twoCellAnchor editAs="oneCell">
    <xdr:from>
      <xdr:col>2</xdr:col>
      <xdr:colOff>23106</xdr:colOff>
      <xdr:row>14</xdr:row>
      <xdr:rowOff>38100</xdr:rowOff>
    </xdr:from>
    <xdr:to>
      <xdr:col>2</xdr:col>
      <xdr:colOff>1953895</xdr:colOff>
      <xdr:row>15</xdr:row>
      <xdr:rowOff>884125</xdr:rowOff>
    </xdr:to>
    <xdr:pic>
      <xdr:nvPicPr>
        <xdr:cNvPr id="35" name="Hình ảnh 34">
          <a:extLst>
            <a:ext uri="{FF2B5EF4-FFF2-40B4-BE49-F238E27FC236}">
              <a16:creationId xmlns:a16="http://schemas.microsoft.com/office/drawing/2014/main" id="{519D951C-D4EE-4978-9352-46C1A3B3D96D}"/>
            </a:ext>
          </a:extLst>
        </xdr:cNvPr>
        <xdr:cNvPicPr>
          <a:picLocks noChangeAspect="1"/>
        </xdr:cNvPicPr>
      </xdr:nvPicPr>
      <xdr:blipFill>
        <a:blip xmlns:r="http://schemas.openxmlformats.org/officeDocument/2006/relationships" r:embed="rId14"/>
        <a:stretch>
          <a:fillRect/>
        </a:stretch>
      </xdr:blipFill>
      <xdr:spPr>
        <a:xfrm>
          <a:off x="2613906" y="16009620"/>
          <a:ext cx="1930789" cy="1760425"/>
        </a:xfrm>
        <a:prstGeom prst="rect">
          <a:avLst/>
        </a:prstGeom>
      </xdr:spPr>
    </xdr:pic>
    <xdr:clientData/>
  </xdr:twoCellAnchor>
  <xdr:twoCellAnchor editAs="oneCell">
    <xdr:from>
      <xdr:col>2</xdr:col>
      <xdr:colOff>259081</xdr:colOff>
      <xdr:row>16</xdr:row>
      <xdr:rowOff>76200</xdr:rowOff>
    </xdr:from>
    <xdr:to>
      <xdr:col>2</xdr:col>
      <xdr:colOff>1699261</xdr:colOff>
      <xdr:row>16</xdr:row>
      <xdr:rowOff>1443281</xdr:rowOff>
    </xdr:to>
    <xdr:pic>
      <xdr:nvPicPr>
        <xdr:cNvPr id="36" name="Hình ảnh 35">
          <a:extLst>
            <a:ext uri="{FF2B5EF4-FFF2-40B4-BE49-F238E27FC236}">
              <a16:creationId xmlns:a16="http://schemas.microsoft.com/office/drawing/2014/main" id="{C6498947-D643-49A7-8BAB-6B5C67DFB824}"/>
            </a:ext>
          </a:extLst>
        </xdr:cNvPr>
        <xdr:cNvPicPr>
          <a:picLocks noChangeAspect="1"/>
        </xdr:cNvPicPr>
      </xdr:nvPicPr>
      <xdr:blipFill>
        <a:blip xmlns:r="http://schemas.openxmlformats.org/officeDocument/2006/relationships" r:embed="rId15"/>
        <a:stretch>
          <a:fillRect/>
        </a:stretch>
      </xdr:blipFill>
      <xdr:spPr>
        <a:xfrm>
          <a:off x="2849881" y="17876520"/>
          <a:ext cx="1440180" cy="1367081"/>
        </a:xfrm>
        <a:prstGeom prst="rect">
          <a:avLst/>
        </a:prstGeom>
      </xdr:spPr>
    </xdr:pic>
    <xdr:clientData/>
  </xdr:twoCellAnchor>
  <xdr:twoCellAnchor editAs="oneCell">
    <xdr:from>
      <xdr:col>2</xdr:col>
      <xdr:colOff>274321</xdr:colOff>
      <xdr:row>17</xdr:row>
      <xdr:rowOff>15241</xdr:rowOff>
    </xdr:from>
    <xdr:to>
      <xdr:col>2</xdr:col>
      <xdr:colOff>1661161</xdr:colOff>
      <xdr:row>17</xdr:row>
      <xdr:rowOff>1428879</xdr:rowOff>
    </xdr:to>
    <xdr:pic>
      <xdr:nvPicPr>
        <xdr:cNvPr id="37" name="Hình ảnh 36">
          <a:extLst>
            <a:ext uri="{FF2B5EF4-FFF2-40B4-BE49-F238E27FC236}">
              <a16:creationId xmlns:a16="http://schemas.microsoft.com/office/drawing/2014/main" id="{C17A9E39-A422-45F4-B086-2A1FA60F22CF}"/>
            </a:ext>
          </a:extLst>
        </xdr:cNvPr>
        <xdr:cNvPicPr>
          <a:picLocks noChangeAspect="1"/>
        </xdr:cNvPicPr>
      </xdr:nvPicPr>
      <xdr:blipFill>
        <a:blip xmlns:r="http://schemas.openxmlformats.org/officeDocument/2006/relationships" r:embed="rId16"/>
        <a:stretch>
          <a:fillRect/>
        </a:stretch>
      </xdr:blipFill>
      <xdr:spPr>
        <a:xfrm>
          <a:off x="2865121" y="19301461"/>
          <a:ext cx="1386840" cy="14136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1181100</xdr:colOff>
      <xdr:row>0</xdr:row>
      <xdr:rowOff>0</xdr:rowOff>
    </xdr:to>
    <xdr:pic>
      <xdr:nvPicPr>
        <xdr:cNvPr id="20" name="Picture 19">
          <a:extLst>
            <a:ext uri="{FF2B5EF4-FFF2-40B4-BE49-F238E27FC236}">
              <a16:creationId xmlns:a16="http://schemas.microsoft.com/office/drawing/2014/main" id="{275A6A21-F108-4515-8DD4-20BA671AB363}"/>
            </a:ext>
          </a:extLst>
        </xdr:cNvPr>
        <xdr:cNvPicPr>
          <a:picLocks noChangeAspect="1"/>
        </xdr:cNvPicPr>
      </xdr:nvPicPr>
      <xdr:blipFill>
        <a:blip xmlns:r="http://schemas.openxmlformats.org/officeDocument/2006/relationships" r:embed="rId1"/>
        <a:stretch>
          <a:fillRect/>
        </a:stretch>
      </xdr:blipFill>
      <xdr:spPr>
        <a:xfrm flipV="1">
          <a:off x="0" y="0"/>
          <a:ext cx="1554480" cy="0"/>
        </a:xfrm>
        <a:prstGeom prst="rect">
          <a:avLst/>
        </a:prstGeom>
      </xdr:spPr>
    </xdr:pic>
    <xdr:clientData/>
  </xdr:twoCellAnchor>
  <xdr:twoCellAnchor editAs="oneCell">
    <xdr:from>
      <xdr:col>0</xdr:col>
      <xdr:colOff>198120</xdr:colOff>
      <xdr:row>0</xdr:row>
      <xdr:rowOff>182880</xdr:rowOff>
    </xdr:from>
    <xdr:to>
      <xdr:col>1</xdr:col>
      <xdr:colOff>1938020</xdr:colOff>
      <xdr:row>0</xdr:row>
      <xdr:rowOff>1109980</xdr:rowOff>
    </xdr:to>
    <xdr:pic>
      <xdr:nvPicPr>
        <xdr:cNvPr id="21" name="Picture 19">
          <a:extLst>
            <a:ext uri="{FF2B5EF4-FFF2-40B4-BE49-F238E27FC236}">
              <a16:creationId xmlns:a16="http://schemas.microsoft.com/office/drawing/2014/main" id="{D800E69A-2CE7-40B8-AA94-63EC7FCD6604}"/>
            </a:ext>
          </a:extLst>
        </xdr:cNvPr>
        <xdr:cNvPicPr>
          <a:picLocks noChangeAspect="1"/>
        </xdr:cNvPicPr>
      </xdr:nvPicPr>
      <xdr:blipFill>
        <a:blip xmlns:r="http://schemas.openxmlformats.org/officeDocument/2006/relationships" r:embed="rId1"/>
        <a:stretch>
          <a:fillRect/>
        </a:stretch>
      </xdr:blipFill>
      <xdr:spPr>
        <a:xfrm>
          <a:off x="198120" y="182880"/>
          <a:ext cx="2113280" cy="927100"/>
        </a:xfrm>
        <a:prstGeom prst="rect">
          <a:avLst/>
        </a:prstGeom>
      </xdr:spPr>
    </xdr:pic>
    <xdr:clientData/>
  </xdr:twoCellAnchor>
  <xdr:twoCellAnchor editAs="oneCell">
    <xdr:from>
      <xdr:col>2</xdr:col>
      <xdr:colOff>76200</xdr:colOff>
      <xdr:row>5</xdr:row>
      <xdr:rowOff>45721</xdr:rowOff>
    </xdr:from>
    <xdr:to>
      <xdr:col>2</xdr:col>
      <xdr:colOff>1935480</xdr:colOff>
      <xdr:row>5</xdr:row>
      <xdr:rowOff>1554481</xdr:rowOff>
    </xdr:to>
    <xdr:pic>
      <xdr:nvPicPr>
        <xdr:cNvPr id="22" name="Hình ảnh 21">
          <a:extLst>
            <a:ext uri="{FF2B5EF4-FFF2-40B4-BE49-F238E27FC236}">
              <a16:creationId xmlns:a16="http://schemas.microsoft.com/office/drawing/2014/main" id="{D3CAF569-0EE5-AA04-C688-C3B677540403}"/>
            </a:ext>
          </a:extLst>
        </xdr:cNvPr>
        <xdr:cNvPicPr>
          <a:picLocks noChangeAspect="1"/>
        </xdr:cNvPicPr>
      </xdr:nvPicPr>
      <xdr:blipFill>
        <a:blip xmlns:r="http://schemas.openxmlformats.org/officeDocument/2006/relationships" r:embed="rId2"/>
        <a:stretch>
          <a:fillRect/>
        </a:stretch>
      </xdr:blipFill>
      <xdr:spPr>
        <a:xfrm>
          <a:off x="2766060" y="3596641"/>
          <a:ext cx="1859280" cy="1508760"/>
        </a:xfrm>
        <a:prstGeom prst="rect">
          <a:avLst/>
        </a:prstGeom>
      </xdr:spPr>
    </xdr:pic>
    <xdr:clientData/>
  </xdr:twoCellAnchor>
  <xdr:twoCellAnchor editAs="oneCell">
    <xdr:from>
      <xdr:col>2</xdr:col>
      <xdr:colOff>68580</xdr:colOff>
      <xdr:row>6</xdr:row>
      <xdr:rowOff>53340</xdr:rowOff>
    </xdr:from>
    <xdr:to>
      <xdr:col>2</xdr:col>
      <xdr:colOff>1927860</xdr:colOff>
      <xdr:row>6</xdr:row>
      <xdr:rowOff>1562100</xdr:rowOff>
    </xdr:to>
    <xdr:pic>
      <xdr:nvPicPr>
        <xdr:cNvPr id="23" name="Hình ảnh 22">
          <a:extLst>
            <a:ext uri="{FF2B5EF4-FFF2-40B4-BE49-F238E27FC236}">
              <a16:creationId xmlns:a16="http://schemas.microsoft.com/office/drawing/2014/main" id="{65D1A743-8195-47AE-B7E2-08E8B46DB9AE}"/>
            </a:ext>
          </a:extLst>
        </xdr:cNvPr>
        <xdr:cNvPicPr>
          <a:picLocks noChangeAspect="1"/>
        </xdr:cNvPicPr>
      </xdr:nvPicPr>
      <xdr:blipFill>
        <a:blip xmlns:r="http://schemas.openxmlformats.org/officeDocument/2006/relationships" r:embed="rId2"/>
        <a:stretch>
          <a:fillRect/>
        </a:stretch>
      </xdr:blipFill>
      <xdr:spPr>
        <a:xfrm>
          <a:off x="2758440" y="5196840"/>
          <a:ext cx="1859280" cy="1508760"/>
        </a:xfrm>
        <a:prstGeom prst="rect">
          <a:avLst/>
        </a:prstGeom>
      </xdr:spPr>
    </xdr:pic>
    <xdr:clientData/>
  </xdr:twoCellAnchor>
  <xdr:twoCellAnchor editAs="oneCell">
    <xdr:from>
      <xdr:col>2</xdr:col>
      <xdr:colOff>91440</xdr:colOff>
      <xdr:row>7</xdr:row>
      <xdr:rowOff>45720</xdr:rowOff>
    </xdr:from>
    <xdr:to>
      <xdr:col>2</xdr:col>
      <xdr:colOff>1950720</xdr:colOff>
      <xdr:row>7</xdr:row>
      <xdr:rowOff>1554480</xdr:rowOff>
    </xdr:to>
    <xdr:pic>
      <xdr:nvPicPr>
        <xdr:cNvPr id="24" name="Hình ảnh 23">
          <a:extLst>
            <a:ext uri="{FF2B5EF4-FFF2-40B4-BE49-F238E27FC236}">
              <a16:creationId xmlns:a16="http://schemas.microsoft.com/office/drawing/2014/main" id="{89980BBC-0F9B-4E5C-8562-6C5295BCB5EF}"/>
            </a:ext>
          </a:extLst>
        </xdr:cNvPr>
        <xdr:cNvPicPr>
          <a:picLocks noChangeAspect="1"/>
        </xdr:cNvPicPr>
      </xdr:nvPicPr>
      <xdr:blipFill>
        <a:blip xmlns:r="http://schemas.openxmlformats.org/officeDocument/2006/relationships" r:embed="rId2"/>
        <a:stretch>
          <a:fillRect/>
        </a:stretch>
      </xdr:blipFill>
      <xdr:spPr>
        <a:xfrm>
          <a:off x="2781300" y="6781800"/>
          <a:ext cx="1859280" cy="1508760"/>
        </a:xfrm>
        <a:prstGeom prst="rect">
          <a:avLst/>
        </a:prstGeom>
      </xdr:spPr>
    </xdr:pic>
    <xdr:clientData/>
  </xdr:twoCellAnchor>
  <xdr:twoCellAnchor editAs="oneCell">
    <xdr:from>
      <xdr:col>2</xdr:col>
      <xdr:colOff>99060</xdr:colOff>
      <xdr:row>8</xdr:row>
      <xdr:rowOff>60960</xdr:rowOff>
    </xdr:from>
    <xdr:to>
      <xdr:col>2</xdr:col>
      <xdr:colOff>1958340</xdr:colOff>
      <xdr:row>8</xdr:row>
      <xdr:rowOff>1569720</xdr:rowOff>
    </xdr:to>
    <xdr:pic>
      <xdr:nvPicPr>
        <xdr:cNvPr id="25" name="Hình ảnh 24">
          <a:extLst>
            <a:ext uri="{FF2B5EF4-FFF2-40B4-BE49-F238E27FC236}">
              <a16:creationId xmlns:a16="http://schemas.microsoft.com/office/drawing/2014/main" id="{B9035B72-82AC-42F7-B9AD-0306F28EDD8E}"/>
            </a:ext>
          </a:extLst>
        </xdr:cNvPr>
        <xdr:cNvPicPr>
          <a:picLocks noChangeAspect="1"/>
        </xdr:cNvPicPr>
      </xdr:nvPicPr>
      <xdr:blipFill>
        <a:blip xmlns:r="http://schemas.openxmlformats.org/officeDocument/2006/relationships" r:embed="rId2"/>
        <a:stretch>
          <a:fillRect/>
        </a:stretch>
      </xdr:blipFill>
      <xdr:spPr>
        <a:xfrm>
          <a:off x="2788920" y="8374380"/>
          <a:ext cx="1859280" cy="1508760"/>
        </a:xfrm>
        <a:prstGeom prst="rect">
          <a:avLst/>
        </a:prstGeom>
      </xdr:spPr>
    </xdr:pic>
    <xdr:clientData/>
  </xdr:twoCellAnchor>
  <xdr:twoCellAnchor editAs="oneCell">
    <xdr:from>
      <xdr:col>2</xdr:col>
      <xdr:colOff>556260</xdr:colOff>
      <xdr:row>23</xdr:row>
      <xdr:rowOff>106680</xdr:rowOff>
    </xdr:from>
    <xdr:to>
      <xdr:col>2</xdr:col>
      <xdr:colOff>1394533</xdr:colOff>
      <xdr:row>23</xdr:row>
      <xdr:rowOff>845884</xdr:rowOff>
    </xdr:to>
    <xdr:pic>
      <xdr:nvPicPr>
        <xdr:cNvPr id="26" name="Hình ảnh 25">
          <a:extLst>
            <a:ext uri="{FF2B5EF4-FFF2-40B4-BE49-F238E27FC236}">
              <a16:creationId xmlns:a16="http://schemas.microsoft.com/office/drawing/2014/main" id="{59FB3B78-CB07-2557-6218-D0A8788D8880}"/>
            </a:ext>
          </a:extLst>
        </xdr:cNvPr>
        <xdr:cNvPicPr>
          <a:picLocks noChangeAspect="1"/>
        </xdr:cNvPicPr>
      </xdr:nvPicPr>
      <xdr:blipFill>
        <a:blip xmlns:r="http://schemas.openxmlformats.org/officeDocument/2006/relationships" r:embed="rId3"/>
        <a:stretch>
          <a:fillRect/>
        </a:stretch>
      </xdr:blipFill>
      <xdr:spPr>
        <a:xfrm>
          <a:off x="3246120" y="22799040"/>
          <a:ext cx="838273" cy="739204"/>
        </a:xfrm>
        <a:prstGeom prst="rect">
          <a:avLst/>
        </a:prstGeom>
      </xdr:spPr>
    </xdr:pic>
    <xdr:clientData/>
  </xdr:twoCellAnchor>
  <xdr:twoCellAnchor editAs="oneCell">
    <xdr:from>
      <xdr:col>2</xdr:col>
      <xdr:colOff>411479</xdr:colOff>
      <xdr:row>20</xdr:row>
      <xdr:rowOff>53340</xdr:rowOff>
    </xdr:from>
    <xdr:to>
      <xdr:col>2</xdr:col>
      <xdr:colOff>1576958</xdr:colOff>
      <xdr:row>20</xdr:row>
      <xdr:rowOff>929640</xdr:rowOff>
    </xdr:to>
    <xdr:pic>
      <xdr:nvPicPr>
        <xdr:cNvPr id="27" name="Hình ảnh 26">
          <a:extLst>
            <a:ext uri="{FF2B5EF4-FFF2-40B4-BE49-F238E27FC236}">
              <a16:creationId xmlns:a16="http://schemas.microsoft.com/office/drawing/2014/main" id="{E64397F4-27B3-CEBE-36CE-0531580946AA}"/>
            </a:ext>
          </a:extLst>
        </xdr:cNvPr>
        <xdr:cNvPicPr>
          <a:picLocks noChangeAspect="1"/>
        </xdr:cNvPicPr>
      </xdr:nvPicPr>
      <xdr:blipFill>
        <a:blip xmlns:r="http://schemas.openxmlformats.org/officeDocument/2006/relationships" r:embed="rId4"/>
        <a:stretch>
          <a:fillRect/>
        </a:stretch>
      </xdr:blipFill>
      <xdr:spPr>
        <a:xfrm>
          <a:off x="3101339" y="20002500"/>
          <a:ext cx="1165479" cy="876300"/>
        </a:xfrm>
        <a:prstGeom prst="rect">
          <a:avLst/>
        </a:prstGeom>
      </xdr:spPr>
    </xdr:pic>
    <xdr:clientData/>
  </xdr:twoCellAnchor>
  <xdr:twoCellAnchor editAs="oneCell">
    <xdr:from>
      <xdr:col>2</xdr:col>
      <xdr:colOff>15240</xdr:colOff>
      <xdr:row>10</xdr:row>
      <xdr:rowOff>53339</xdr:rowOff>
    </xdr:from>
    <xdr:to>
      <xdr:col>2</xdr:col>
      <xdr:colOff>1973580</xdr:colOff>
      <xdr:row>11</xdr:row>
      <xdr:rowOff>855767</xdr:rowOff>
    </xdr:to>
    <xdr:pic>
      <xdr:nvPicPr>
        <xdr:cNvPr id="29" name="Hình ảnh 28">
          <a:extLst>
            <a:ext uri="{FF2B5EF4-FFF2-40B4-BE49-F238E27FC236}">
              <a16:creationId xmlns:a16="http://schemas.microsoft.com/office/drawing/2014/main" id="{AF8AFC60-A8DE-4B94-9115-B1497E3E60CF}"/>
            </a:ext>
          </a:extLst>
        </xdr:cNvPr>
        <xdr:cNvPicPr>
          <a:picLocks noChangeAspect="1"/>
        </xdr:cNvPicPr>
      </xdr:nvPicPr>
      <xdr:blipFill>
        <a:blip xmlns:r="http://schemas.openxmlformats.org/officeDocument/2006/relationships" r:embed="rId5"/>
        <a:stretch>
          <a:fillRect/>
        </a:stretch>
      </xdr:blipFill>
      <xdr:spPr>
        <a:xfrm>
          <a:off x="2705100" y="11330939"/>
          <a:ext cx="1958340" cy="1716828"/>
        </a:xfrm>
        <a:prstGeom prst="rect">
          <a:avLst/>
        </a:prstGeom>
      </xdr:spPr>
    </xdr:pic>
    <xdr:clientData/>
  </xdr:twoCellAnchor>
  <xdr:twoCellAnchor editAs="oneCell">
    <xdr:from>
      <xdr:col>2</xdr:col>
      <xdr:colOff>129540</xdr:colOff>
      <xdr:row>9</xdr:row>
      <xdr:rowOff>27369</xdr:rowOff>
    </xdr:from>
    <xdr:to>
      <xdr:col>2</xdr:col>
      <xdr:colOff>1874520</xdr:colOff>
      <xdr:row>10</xdr:row>
      <xdr:rowOff>2583</xdr:rowOff>
    </xdr:to>
    <xdr:pic>
      <xdr:nvPicPr>
        <xdr:cNvPr id="30" name="Hình ảnh 29">
          <a:extLst>
            <a:ext uri="{FF2B5EF4-FFF2-40B4-BE49-F238E27FC236}">
              <a16:creationId xmlns:a16="http://schemas.microsoft.com/office/drawing/2014/main" id="{4CF1DB79-0504-2FD8-9C6E-90AC457E78D6}"/>
            </a:ext>
          </a:extLst>
        </xdr:cNvPr>
        <xdr:cNvPicPr>
          <a:picLocks noChangeAspect="1"/>
        </xdr:cNvPicPr>
      </xdr:nvPicPr>
      <xdr:blipFill>
        <a:blip xmlns:r="http://schemas.openxmlformats.org/officeDocument/2006/relationships" r:embed="rId6"/>
        <a:stretch>
          <a:fillRect/>
        </a:stretch>
      </xdr:blipFill>
      <xdr:spPr>
        <a:xfrm>
          <a:off x="2819400" y="9918129"/>
          <a:ext cx="1744980" cy="1362054"/>
        </a:xfrm>
        <a:prstGeom prst="rect">
          <a:avLst/>
        </a:prstGeom>
      </xdr:spPr>
    </xdr:pic>
    <xdr:clientData/>
  </xdr:twoCellAnchor>
  <xdr:twoCellAnchor editAs="oneCell">
    <xdr:from>
      <xdr:col>2</xdr:col>
      <xdr:colOff>118399</xdr:colOff>
      <xdr:row>25</xdr:row>
      <xdr:rowOff>289560</xdr:rowOff>
    </xdr:from>
    <xdr:to>
      <xdr:col>2</xdr:col>
      <xdr:colOff>1950959</xdr:colOff>
      <xdr:row>28</xdr:row>
      <xdr:rowOff>320223</xdr:rowOff>
    </xdr:to>
    <xdr:pic>
      <xdr:nvPicPr>
        <xdr:cNvPr id="31" name="Hình ảnh 30">
          <a:extLst>
            <a:ext uri="{FF2B5EF4-FFF2-40B4-BE49-F238E27FC236}">
              <a16:creationId xmlns:a16="http://schemas.microsoft.com/office/drawing/2014/main" id="{65E90298-66B7-CD76-3AAE-901F78505998}"/>
            </a:ext>
          </a:extLst>
        </xdr:cNvPr>
        <xdr:cNvPicPr>
          <a:picLocks noChangeAspect="1"/>
        </xdr:cNvPicPr>
      </xdr:nvPicPr>
      <xdr:blipFill>
        <a:blip xmlns:r="http://schemas.openxmlformats.org/officeDocument/2006/relationships" r:embed="rId7"/>
        <a:stretch>
          <a:fillRect/>
        </a:stretch>
      </xdr:blipFill>
      <xdr:spPr>
        <a:xfrm>
          <a:off x="2808259" y="25488900"/>
          <a:ext cx="1832560" cy="1402263"/>
        </a:xfrm>
        <a:prstGeom prst="rect">
          <a:avLst/>
        </a:prstGeom>
      </xdr:spPr>
    </xdr:pic>
    <xdr:clientData/>
  </xdr:twoCellAnchor>
  <xdr:twoCellAnchor editAs="oneCell">
    <xdr:from>
      <xdr:col>2</xdr:col>
      <xdr:colOff>60960</xdr:colOff>
      <xdr:row>24</xdr:row>
      <xdr:rowOff>29187</xdr:rowOff>
    </xdr:from>
    <xdr:to>
      <xdr:col>2</xdr:col>
      <xdr:colOff>1951032</xdr:colOff>
      <xdr:row>24</xdr:row>
      <xdr:rowOff>1394684</xdr:rowOff>
    </xdr:to>
    <xdr:pic>
      <xdr:nvPicPr>
        <xdr:cNvPr id="32" name="Hình ảnh 31">
          <a:extLst>
            <a:ext uri="{FF2B5EF4-FFF2-40B4-BE49-F238E27FC236}">
              <a16:creationId xmlns:a16="http://schemas.microsoft.com/office/drawing/2014/main" id="{AE6F9BBA-48DA-60BE-1116-49A3F8F67E1E}"/>
            </a:ext>
          </a:extLst>
        </xdr:cNvPr>
        <xdr:cNvPicPr>
          <a:picLocks noChangeAspect="1"/>
        </xdr:cNvPicPr>
      </xdr:nvPicPr>
      <xdr:blipFill>
        <a:blip xmlns:r="http://schemas.openxmlformats.org/officeDocument/2006/relationships" r:embed="rId8"/>
        <a:stretch>
          <a:fillRect/>
        </a:stretch>
      </xdr:blipFill>
      <xdr:spPr>
        <a:xfrm>
          <a:off x="2750820" y="24314127"/>
          <a:ext cx="1890072" cy="1365497"/>
        </a:xfrm>
        <a:prstGeom prst="rect">
          <a:avLst/>
        </a:prstGeom>
      </xdr:spPr>
    </xdr:pic>
    <xdr:clientData/>
  </xdr:twoCellAnchor>
  <xdr:twoCellAnchor editAs="oneCell">
    <xdr:from>
      <xdr:col>2</xdr:col>
      <xdr:colOff>126724</xdr:colOff>
      <xdr:row>19</xdr:row>
      <xdr:rowOff>0</xdr:rowOff>
    </xdr:from>
    <xdr:to>
      <xdr:col>2</xdr:col>
      <xdr:colOff>1874519</xdr:colOff>
      <xdr:row>20</xdr:row>
      <xdr:rowOff>68580</xdr:rowOff>
    </xdr:to>
    <xdr:pic>
      <xdr:nvPicPr>
        <xdr:cNvPr id="33" name="Hình ảnh 32">
          <a:extLst>
            <a:ext uri="{FF2B5EF4-FFF2-40B4-BE49-F238E27FC236}">
              <a16:creationId xmlns:a16="http://schemas.microsoft.com/office/drawing/2014/main" id="{7BDDA590-C422-D5FB-66ED-7C9EFAB0D52A}"/>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5618" b="90449" l="8209" r="88806">
                      <a14:foregroundMark x1="14552" y1="30337" x2="29851" y2="38202"/>
                      <a14:foregroundMark x1="28731" y1="14607" x2="47015" y2="14607"/>
                      <a14:foregroundMark x1="36194" y1="6180" x2="47388" y2="7303"/>
                      <a14:foregroundMark x1="8955" y1="37640" x2="12313" y2="47191"/>
                      <a14:foregroundMark x1="41791" y1="83708" x2="34701" y2="91011"/>
                      <a14:foregroundMark x1="17164" y1="5618" x2="44776" y2="6180"/>
                    </a14:backgroundRemoval>
                  </a14:imgEffect>
                </a14:imgLayer>
              </a14:imgProps>
            </a:ext>
            <a:ext uri="{28A0092B-C50C-407E-A947-70E740481C1C}">
              <a14:useLocalDpi xmlns:a14="http://schemas.microsoft.com/office/drawing/2010/main" val="0"/>
            </a:ext>
          </a:extLst>
        </a:blip>
        <a:srcRect/>
        <a:stretch>
          <a:fillRect/>
        </a:stretch>
      </xdr:blipFill>
      <xdr:spPr bwMode="auto">
        <a:xfrm>
          <a:off x="2816584" y="19507200"/>
          <a:ext cx="1747795" cy="1158240"/>
        </a:xfrm>
        <a:prstGeom prst="rect">
          <a:avLst/>
        </a:prstGeom>
        <a:noFill/>
        <a:ln>
          <a:noFill/>
        </a:ln>
      </xdr:spPr>
    </xdr:pic>
    <xdr:clientData/>
  </xdr:twoCellAnchor>
  <xdr:twoCellAnchor editAs="oneCell">
    <xdr:from>
      <xdr:col>2</xdr:col>
      <xdr:colOff>373380</xdr:colOff>
      <xdr:row>18</xdr:row>
      <xdr:rowOff>68203</xdr:rowOff>
    </xdr:from>
    <xdr:to>
      <xdr:col>2</xdr:col>
      <xdr:colOff>1729914</xdr:colOff>
      <xdr:row>18</xdr:row>
      <xdr:rowOff>1280315</xdr:rowOff>
    </xdr:to>
    <xdr:pic>
      <xdr:nvPicPr>
        <xdr:cNvPr id="34" name="Hình ảnh 33">
          <a:extLst>
            <a:ext uri="{FF2B5EF4-FFF2-40B4-BE49-F238E27FC236}">
              <a16:creationId xmlns:a16="http://schemas.microsoft.com/office/drawing/2014/main" id="{547D07EE-47A8-4C8E-8B4B-A8D36A595A0F}"/>
            </a:ext>
          </a:extLst>
        </xdr:cNvPr>
        <xdr:cNvPicPr>
          <a:picLocks noChangeAspect="1"/>
        </xdr:cNvPicPr>
      </xdr:nvPicPr>
      <xdr:blipFill>
        <a:blip xmlns:r="http://schemas.openxmlformats.org/officeDocument/2006/relationships" r:embed="rId11"/>
        <a:stretch>
          <a:fillRect/>
        </a:stretch>
      </xdr:blipFill>
      <xdr:spPr>
        <a:xfrm>
          <a:off x="3063240" y="18661003"/>
          <a:ext cx="1356534" cy="1212112"/>
        </a:xfrm>
        <a:prstGeom prst="rect">
          <a:avLst/>
        </a:prstGeom>
      </xdr:spPr>
    </xdr:pic>
    <xdr:clientData/>
  </xdr:twoCellAnchor>
  <xdr:twoCellAnchor editAs="oneCell">
    <xdr:from>
      <xdr:col>2</xdr:col>
      <xdr:colOff>29934</xdr:colOff>
      <xdr:row>12</xdr:row>
      <xdr:rowOff>83819</xdr:rowOff>
    </xdr:from>
    <xdr:to>
      <xdr:col>3</xdr:col>
      <xdr:colOff>265</xdr:colOff>
      <xdr:row>12</xdr:row>
      <xdr:rowOff>1112658</xdr:rowOff>
    </xdr:to>
    <xdr:pic>
      <xdr:nvPicPr>
        <xdr:cNvPr id="35" name="Hình ảnh 34">
          <a:extLst>
            <a:ext uri="{FF2B5EF4-FFF2-40B4-BE49-F238E27FC236}">
              <a16:creationId xmlns:a16="http://schemas.microsoft.com/office/drawing/2014/main" id="{CAB7B95A-8838-760C-07B6-7B7E83DC6D7A}"/>
            </a:ext>
          </a:extLst>
        </xdr:cNvPr>
        <xdr:cNvPicPr>
          <a:picLocks noChangeAspect="1"/>
        </xdr:cNvPicPr>
      </xdr:nvPicPr>
      <xdr:blipFill>
        <a:blip xmlns:r="http://schemas.openxmlformats.org/officeDocument/2006/relationships" r:embed="rId12"/>
        <a:stretch>
          <a:fillRect/>
        </a:stretch>
      </xdr:blipFill>
      <xdr:spPr>
        <a:xfrm>
          <a:off x="2719794" y="13190219"/>
          <a:ext cx="1974391" cy="1028839"/>
        </a:xfrm>
        <a:prstGeom prst="rect">
          <a:avLst/>
        </a:prstGeom>
      </xdr:spPr>
    </xdr:pic>
    <xdr:clientData/>
  </xdr:twoCellAnchor>
  <xdr:twoCellAnchor editAs="oneCell">
    <xdr:from>
      <xdr:col>2</xdr:col>
      <xdr:colOff>121920</xdr:colOff>
      <xdr:row>13</xdr:row>
      <xdr:rowOff>69589</xdr:rowOff>
    </xdr:from>
    <xdr:to>
      <xdr:col>2</xdr:col>
      <xdr:colOff>1707079</xdr:colOff>
      <xdr:row>13</xdr:row>
      <xdr:rowOff>1623255</xdr:rowOff>
    </xdr:to>
    <xdr:pic>
      <xdr:nvPicPr>
        <xdr:cNvPr id="36" name="Hình ảnh 35">
          <a:extLst>
            <a:ext uri="{FF2B5EF4-FFF2-40B4-BE49-F238E27FC236}">
              <a16:creationId xmlns:a16="http://schemas.microsoft.com/office/drawing/2014/main" id="{317B2BC7-94B7-0891-51B5-1EFCF9275CDD}"/>
            </a:ext>
          </a:extLst>
        </xdr:cNvPr>
        <xdr:cNvPicPr>
          <a:picLocks noChangeAspect="1"/>
        </xdr:cNvPicPr>
      </xdr:nvPicPr>
      <xdr:blipFill>
        <a:blip xmlns:r="http://schemas.openxmlformats.org/officeDocument/2006/relationships" r:embed="rId13"/>
        <a:stretch>
          <a:fillRect/>
        </a:stretch>
      </xdr:blipFill>
      <xdr:spPr>
        <a:xfrm>
          <a:off x="2811780" y="14364709"/>
          <a:ext cx="1585159" cy="1553666"/>
        </a:xfrm>
        <a:prstGeom prst="rect">
          <a:avLst/>
        </a:prstGeom>
      </xdr:spPr>
    </xdr:pic>
    <xdr:clientData/>
  </xdr:twoCellAnchor>
  <xdr:twoCellAnchor editAs="oneCell">
    <xdr:from>
      <xdr:col>2</xdr:col>
      <xdr:colOff>23106</xdr:colOff>
      <xdr:row>14</xdr:row>
      <xdr:rowOff>38100</xdr:rowOff>
    </xdr:from>
    <xdr:to>
      <xdr:col>2</xdr:col>
      <xdr:colOff>1953895</xdr:colOff>
      <xdr:row>15</xdr:row>
      <xdr:rowOff>884125</xdr:rowOff>
    </xdr:to>
    <xdr:pic>
      <xdr:nvPicPr>
        <xdr:cNvPr id="37" name="Hình ảnh 36">
          <a:extLst>
            <a:ext uri="{FF2B5EF4-FFF2-40B4-BE49-F238E27FC236}">
              <a16:creationId xmlns:a16="http://schemas.microsoft.com/office/drawing/2014/main" id="{43A839EA-5332-5DDB-3133-3EBE96CF8D94}"/>
            </a:ext>
          </a:extLst>
        </xdr:cNvPr>
        <xdr:cNvPicPr>
          <a:picLocks noChangeAspect="1"/>
        </xdr:cNvPicPr>
      </xdr:nvPicPr>
      <xdr:blipFill>
        <a:blip xmlns:r="http://schemas.openxmlformats.org/officeDocument/2006/relationships" r:embed="rId14"/>
        <a:stretch>
          <a:fillRect/>
        </a:stretch>
      </xdr:blipFill>
      <xdr:spPr>
        <a:xfrm>
          <a:off x="2712966" y="16040100"/>
          <a:ext cx="1930789" cy="1760425"/>
        </a:xfrm>
        <a:prstGeom prst="rect">
          <a:avLst/>
        </a:prstGeom>
      </xdr:spPr>
    </xdr:pic>
    <xdr:clientData/>
  </xdr:twoCellAnchor>
  <xdr:twoCellAnchor editAs="oneCell">
    <xdr:from>
      <xdr:col>2</xdr:col>
      <xdr:colOff>259081</xdr:colOff>
      <xdr:row>16</xdr:row>
      <xdr:rowOff>76200</xdr:rowOff>
    </xdr:from>
    <xdr:to>
      <xdr:col>2</xdr:col>
      <xdr:colOff>1699261</xdr:colOff>
      <xdr:row>16</xdr:row>
      <xdr:rowOff>1443281</xdr:rowOff>
    </xdr:to>
    <xdr:pic>
      <xdr:nvPicPr>
        <xdr:cNvPr id="38" name="Hình ảnh 37">
          <a:extLst>
            <a:ext uri="{FF2B5EF4-FFF2-40B4-BE49-F238E27FC236}">
              <a16:creationId xmlns:a16="http://schemas.microsoft.com/office/drawing/2014/main" id="{7CA1302D-7F23-5068-3070-B37D89E38A81}"/>
            </a:ext>
          </a:extLst>
        </xdr:cNvPr>
        <xdr:cNvPicPr>
          <a:picLocks noChangeAspect="1"/>
        </xdr:cNvPicPr>
      </xdr:nvPicPr>
      <xdr:blipFill>
        <a:blip xmlns:r="http://schemas.openxmlformats.org/officeDocument/2006/relationships" r:embed="rId15"/>
        <a:stretch>
          <a:fillRect/>
        </a:stretch>
      </xdr:blipFill>
      <xdr:spPr>
        <a:xfrm>
          <a:off x="2948941" y="17907000"/>
          <a:ext cx="1440180" cy="1367081"/>
        </a:xfrm>
        <a:prstGeom prst="rect">
          <a:avLst/>
        </a:prstGeom>
      </xdr:spPr>
    </xdr:pic>
    <xdr:clientData/>
  </xdr:twoCellAnchor>
  <xdr:twoCellAnchor editAs="oneCell">
    <xdr:from>
      <xdr:col>2</xdr:col>
      <xdr:colOff>274321</xdr:colOff>
      <xdr:row>17</xdr:row>
      <xdr:rowOff>15241</xdr:rowOff>
    </xdr:from>
    <xdr:to>
      <xdr:col>2</xdr:col>
      <xdr:colOff>1661161</xdr:colOff>
      <xdr:row>17</xdr:row>
      <xdr:rowOff>1428879</xdr:rowOff>
    </xdr:to>
    <xdr:pic>
      <xdr:nvPicPr>
        <xdr:cNvPr id="39" name="Hình ảnh 38">
          <a:extLst>
            <a:ext uri="{FF2B5EF4-FFF2-40B4-BE49-F238E27FC236}">
              <a16:creationId xmlns:a16="http://schemas.microsoft.com/office/drawing/2014/main" id="{A82E9C22-99DF-A303-4DD7-754EE8BE1B01}"/>
            </a:ext>
          </a:extLst>
        </xdr:cNvPr>
        <xdr:cNvPicPr>
          <a:picLocks noChangeAspect="1"/>
        </xdr:cNvPicPr>
      </xdr:nvPicPr>
      <xdr:blipFill>
        <a:blip xmlns:r="http://schemas.openxmlformats.org/officeDocument/2006/relationships" r:embed="rId16"/>
        <a:stretch>
          <a:fillRect/>
        </a:stretch>
      </xdr:blipFill>
      <xdr:spPr>
        <a:xfrm>
          <a:off x="2964181" y="19331941"/>
          <a:ext cx="1386840" cy="14136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198120</xdr:colOff>
      <xdr:row>0</xdr:row>
      <xdr:rowOff>182880</xdr:rowOff>
    </xdr:from>
    <xdr:to>
      <xdr:col>1</xdr:col>
      <xdr:colOff>1938020</xdr:colOff>
      <xdr:row>0</xdr:row>
      <xdr:rowOff>1109980</xdr:rowOff>
    </xdr:to>
    <xdr:pic>
      <xdr:nvPicPr>
        <xdr:cNvPr id="2" name="Picture 19">
          <a:extLst>
            <a:ext uri="{FF2B5EF4-FFF2-40B4-BE49-F238E27FC236}">
              <a16:creationId xmlns:a16="http://schemas.microsoft.com/office/drawing/2014/main" id="{9219F3FE-4AB8-43D9-A6BB-9C18FA886E10}"/>
            </a:ext>
          </a:extLst>
        </xdr:cNvPr>
        <xdr:cNvPicPr>
          <a:picLocks noChangeAspect="1"/>
        </xdr:cNvPicPr>
      </xdr:nvPicPr>
      <xdr:blipFill>
        <a:blip xmlns:r="http://schemas.openxmlformats.org/officeDocument/2006/relationships" r:embed="rId1"/>
        <a:stretch>
          <a:fillRect/>
        </a:stretch>
      </xdr:blipFill>
      <xdr:spPr>
        <a:xfrm>
          <a:off x="198120" y="182880"/>
          <a:ext cx="2113280" cy="927100"/>
        </a:xfrm>
        <a:prstGeom prst="rect">
          <a:avLst/>
        </a:prstGeom>
      </xdr:spPr>
    </xdr:pic>
    <xdr:clientData/>
  </xdr:twoCellAnchor>
  <xdr:twoCellAnchor editAs="oneCell">
    <xdr:from>
      <xdr:col>2</xdr:col>
      <xdr:colOff>76200</xdr:colOff>
      <xdr:row>5</xdr:row>
      <xdr:rowOff>45721</xdr:rowOff>
    </xdr:from>
    <xdr:to>
      <xdr:col>2</xdr:col>
      <xdr:colOff>1935480</xdr:colOff>
      <xdr:row>5</xdr:row>
      <xdr:rowOff>1554481</xdr:rowOff>
    </xdr:to>
    <xdr:pic>
      <xdr:nvPicPr>
        <xdr:cNvPr id="3" name="Hình ảnh 2">
          <a:extLst>
            <a:ext uri="{FF2B5EF4-FFF2-40B4-BE49-F238E27FC236}">
              <a16:creationId xmlns:a16="http://schemas.microsoft.com/office/drawing/2014/main" id="{EF38005B-0B33-4F03-94CD-7A1F9E178D65}"/>
            </a:ext>
          </a:extLst>
        </xdr:cNvPr>
        <xdr:cNvPicPr>
          <a:picLocks noChangeAspect="1"/>
        </xdr:cNvPicPr>
      </xdr:nvPicPr>
      <xdr:blipFill>
        <a:blip xmlns:r="http://schemas.openxmlformats.org/officeDocument/2006/relationships" r:embed="rId2"/>
        <a:stretch>
          <a:fillRect/>
        </a:stretch>
      </xdr:blipFill>
      <xdr:spPr>
        <a:xfrm>
          <a:off x="2667000" y="3596641"/>
          <a:ext cx="1859280" cy="1508760"/>
        </a:xfrm>
        <a:prstGeom prst="rect">
          <a:avLst/>
        </a:prstGeom>
      </xdr:spPr>
    </xdr:pic>
    <xdr:clientData/>
  </xdr:twoCellAnchor>
  <xdr:twoCellAnchor editAs="oneCell">
    <xdr:from>
      <xdr:col>2</xdr:col>
      <xdr:colOff>68580</xdr:colOff>
      <xdr:row>6</xdr:row>
      <xdr:rowOff>53340</xdr:rowOff>
    </xdr:from>
    <xdr:to>
      <xdr:col>2</xdr:col>
      <xdr:colOff>1927860</xdr:colOff>
      <xdr:row>6</xdr:row>
      <xdr:rowOff>1562100</xdr:rowOff>
    </xdr:to>
    <xdr:pic>
      <xdr:nvPicPr>
        <xdr:cNvPr id="4" name="Hình ảnh 3">
          <a:extLst>
            <a:ext uri="{FF2B5EF4-FFF2-40B4-BE49-F238E27FC236}">
              <a16:creationId xmlns:a16="http://schemas.microsoft.com/office/drawing/2014/main" id="{A33E1A9B-0AB4-411F-868A-E55C6EFD9726}"/>
            </a:ext>
          </a:extLst>
        </xdr:cNvPr>
        <xdr:cNvPicPr>
          <a:picLocks noChangeAspect="1"/>
        </xdr:cNvPicPr>
      </xdr:nvPicPr>
      <xdr:blipFill>
        <a:blip xmlns:r="http://schemas.openxmlformats.org/officeDocument/2006/relationships" r:embed="rId2"/>
        <a:stretch>
          <a:fillRect/>
        </a:stretch>
      </xdr:blipFill>
      <xdr:spPr>
        <a:xfrm>
          <a:off x="2659380" y="5181600"/>
          <a:ext cx="1859280" cy="1508760"/>
        </a:xfrm>
        <a:prstGeom prst="rect">
          <a:avLst/>
        </a:prstGeom>
      </xdr:spPr>
    </xdr:pic>
    <xdr:clientData/>
  </xdr:twoCellAnchor>
  <xdr:twoCellAnchor editAs="oneCell">
    <xdr:from>
      <xdr:col>2</xdr:col>
      <xdr:colOff>91440</xdr:colOff>
      <xdr:row>7</xdr:row>
      <xdr:rowOff>45720</xdr:rowOff>
    </xdr:from>
    <xdr:to>
      <xdr:col>2</xdr:col>
      <xdr:colOff>1950720</xdr:colOff>
      <xdr:row>7</xdr:row>
      <xdr:rowOff>1554480</xdr:rowOff>
    </xdr:to>
    <xdr:pic>
      <xdr:nvPicPr>
        <xdr:cNvPr id="5" name="Hình ảnh 4">
          <a:extLst>
            <a:ext uri="{FF2B5EF4-FFF2-40B4-BE49-F238E27FC236}">
              <a16:creationId xmlns:a16="http://schemas.microsoft.com/office/drawing/2014/main" id="{76BF7034-C3A6-4FD1-BD9F-8052A0BFDED1}"/>
            </a:ext>
          </a:extLst>
        </xdr:cNvPr>
        <xdr:cNvPicPr>
          <a:picLocks noChangeAspect="1"/>
        </xdr:cNvPicPr>
      </xdr:nvPicPr>
      <xdr:blipFill>
        <a:blip xmlns:r="http://schemas.openxmlformats.org/officeDocument/2006/relationships" r:embed="rId2"/>
        <a:stretch>
          <a:fillRect/>
        </a:stretch>
      </xdr:blipFill>
      <xdr:spPr>
        <a:xfrm>
          <a:off x="2682240" y="6751320"/>
          <a:ext cx="1859280" cy="1508760"/>
        </a:xfrm>
        <a:prstGeom prst="rect">
          <a:avLst/>
        </a:prstGeom>
      </xdr:spPr>
    </xdr:pic>
    <xdr:clientData/>
  </xdr:twoCellAnchor>
  <xdr:twoCellAnchor editAs="oneCell">
    <xdr:from>
      <xdr:col>2</xdr:col>
      <xdr:colOff>99060</xdr:colOff>
      <xdr:row>8</xdr:row>
      <xdr:rowOff>60960</xdr:rowOff>
    </xdr:from>
    <xdr:to>
      <xdr:col>2</xdr:col>
      <xdr:colOff>1958340</xdr:colOff>
      <xdr:row>8</xdr:row>
      <xdr:rowOff>1569720</xdr:rowOff>
    </xdr:to>
    <xdr:pic>
      <xdr:nvPicPr>
        <xdr:cNvPr id="6" name="Hình ảnh 5">
          <a:extLst>
            <a:ext uri="{FF2B5EF4-FFF2-40B4-BE49-F238E27FC236}">
              <a16:creationId xmlns:a16="http://schemas.microsoft.com/office/drawing/2014/main" id="{56CCEFE4-116E-4509-B54E-E3AD5AE8E74A}"/>
            </a:ext>
          </a:extLst>
        </xdr:cNvPr>
        <xdr:cNvPicPr>
          <a:picLocks noChangeAspect="1"/>
        </xdr:cNvPicPr>
      </xdr:nvPicPr>
      <xdr:blipFill>
        <a:blip xmlns:r="http://schemas.openxmlformats.org/officeDocument/2006/relationships" r:embed="rId2"/>
        <a:stretch>
          <a:fillRect/>
        </a:stretch>
      </xdr:blipFill>
      <xdr:spPr>
        <a:xfrm>
          <a:off x="2689860" y="8343900"/>
          <a:ext cx="1859280" cy="1508760"/>
        </a:xfrm>
        <a:prstGeom prst="rect">
          <a:avLst/>
        </a:prstGeom>
      </xdr:spPr>
    </xdr:pic>
    <xdr:clientData/>
  </xdr:twoCellAnchor>
  <xdr:twoCellAnchor editAs="oneCell">
    <xdr:from>
      <xdr:col>2</xdr:col>
      <xdr:colOff>556260</xdr:colOff>
      <xdr:row>23</xdr:row>
      <xdr:rowOff>106680</xdr:rowOff>
    </xdr:from>
    <xdr:to>
      <xdr:col>2</xdr:col>
      <xdr:colOff>1394533</xdr:colOff>
      <xdr:row>23</xdr:row>
      <xdr:rowOff>845884</xdr:rowOff>
    </xdr:to>
    <xdr:pic>
      <xdr:nvPicPr>
        <xdr:cNvPr id="7" name="Hình ảnh 6">
          <a:extLst>
            <a:ext uri="{FF2B5EF4-FFF2-40B4-BE49-F238E27FC236}">
              <a16:creationId xmlns:a16="http://schemas.microsoft.com/office/drawing/2014/main" id="{6FD9BF3B-A9F9-4666-B525-B604DFD1188C}"/>
            </a:ext>
          </a:extLst>
        </xdr:cNvPr>
        <xdr:cNvPicPr>
          <a:picLocks noChangeAspect="1"/>
        </xdr:cNvPicPr>
      </xdr:nvPicPr>
      <xdr:blipFill>
        <a:blip xmlns:r="http://schemas.openxmlformats.org/officeDocument/2006/relationships" r:embed="rId3"/>
        <a:stretch>
          <a:fillRect/>
        </a:stretch>
      </xdr:blipFill>
      <xdr:spPr>
        <a:xfrm>
          <a:off x="3147060" y="26258520"/>
          <a:ext cx="838273" cy="739204"/>
        </a:xfrm>
        <a:prstGeom prst="rect">
          <a:avLst/>
        </a:prstGeom>
      </xdr:spPr>
    </xdr:pic>
    <xdr:clientData/>
  </xdr:twoCellAnchor>
  <xdr:twoCellAnchor editAs="oneCell">
    <xdr:from>
      <xdr:col>2</xdr:col>
      <xdr:colOff>411479</xdr:colOff>
      <xdr:row>20</xdr:row>
      <xdr:rowOff>53340</xdr:rowOff>
    </xdr:from>
    <xdr:to>
      <xdr:col>2</xdr:col>
      <xdr:colOff>1576958</xdr:colOff>
      <xdr:row>20</xdr:row>
      <xdr:rowOff>929640</xdr:rowOff>
    </xdr:to>
    <xdr:pic>
      <xdr:nvPicPr>
        <xdr:cNvPr id="8" name="Hình ảnh 7">
          <a:extLst>
            <a:ext uri="{FF2B5EF4-FFF2-40B4-BE49-F238E27FC236}">
              <a16:creationId xmlns:a16="http://schemas.microsoft.com/office/drawing/2014/main" id="{71A21F12-BC42-4589-98E4-699ABE9D6801}"/>
            </a:ext>
          </a:extLst>
        </xdr:cNvPr>
        <xdr:cNvPicPr>
          <a:picLocks noChangeAspect="1"/>
        </xdr:cNvPicPr>
      </xdr:nvPicPr>
      <xdr:blipFill>
        <a:blip xmlns:r="http://schemas.openxmlformats.org/officeDocument/2006/relationships" r:embed="rId4"/>
        <a:stretch>
          <a:fillRect/>
        </a:stretch>
      </xdr:blipFill>
      <xdr:spPr>
        <a:xfrm>
          <a:off x="3002279" y="23256240"/>
          <a:ext cx="1165479" cy="876300"/>
        </a:xfrm>
        <a:prstGeom prst="rect">
          <a:avLst/>
        </a:prstGeom>
      </xdr:spPr>
    </xdr:pic>
    <xdr:clientData/>
  </xdr:twoCellAnchor>
  <xdr:twoCellAnchor editAs="oneCell">
    <xdr:from>
      <xdr:col>2</xdr:col>
      <xdr:colOff>15240</xdr:colOff>
      <xdr:row>10</xdr:row>
      <xdr:rowOff>53339</xdr:rowOff>
    </xdr:from>
    <xdr:to>
      <xdr:col>2</xdr:col>
      <xdr:colOff>1973580</xdr:colOff>
      <xdr:row>11</xdr:row>
      <xdr:rowOff>855767</xdr:rowOff>
    </xdr:to>
    <xdr:pic>
      <xdr:nvPicPr>
        <xdr:cNvPr id="9" name="Hình ảnh 8">
          <a:extLst>
            <a:ext uri="{FF2B5EF4-FFF2-40B4-BE49-F238E27FC236}">
              <a16:creationId xmlns:a16="http://schemas.microsoft.com/office/drawing/2014/main" id="{C8FE5667-6958-432E-B584-187BEED60EB0}"/>
            </a:ext>
          </a:extLst>
        </xdr:cNvPr>
        <xdr:cNvPicPr>
          <a:picLocks noChangeAspect="1"/>
        </xdr:cNvPicPr>
      </xdr:nvPicPr>
      <xdr:blipFill>
        <a:blip xmlns:r="http://schemas.openxmlformats.org/officeDocument/2006/relationships" r:embed="rId5"/>
        <a:stretch>
          <a:fillRect/>
        </a:stretch>
      </xdr:blipFill>
      <xdr:spPr>
        <a:xfrm>
          <a:off x="2606040" y="11300459"/>
          <a:ext cx="1958340" cy="1716828"/>
        </a:xfrm>
        <a:prstGeom prst="rect">
          <a:avLst/>
        </a:prstGeom>
      </xdr:spPr>
    </xdr:pic>
    <xdr:clientData/>
  </xdr:twoCellAnchor>
  <xdr:twoCellAnchor editAs="oneCell">
    <xdr:from>
      <xdr:col>2</xdr:col>
      <xdr:colOff>129540</xdr:colOff>
      <xdr:row>9</xdr:row>
      <xdr:rowOff>27369</xdr:rowOff>
    </xdr:from>
    <xdr:to>
      <xdr:col>2</xdr:col>
      <xdr:colOff>1874520</xdr:colOff>
      <xdr:row>10</xdr:row>
      <xdr:rowOff>2583</xdr:rowOff>
    </xdr:to>
    <xdr:pic>
      <xdr:nvPicPr>
        <xdr:cNvPr id="10" name="Hình ảnh 9">
          <a:extLst>
            <a:ext uri="{FF2B5EF4-FFF2-40B4-BE49-F238E27FC236}">
              <a16:creationId xmlns:a16="http://schemas.microsoft.com/office/drawing/2014/main" id="{CD068E32-9F67-466A-9081-FD01D4612B19}"/>
            </a:ext>
          </a:extLst>
        </xdr:cNvPr>
        <xdr:cNvPicPr>
          <a:picLocks noChangeAspect="1"/>
        </xdr:cNvPicPr>
      </xdr:nvPicPr>
      <xdr:blipFill>
        <a:blip xmlns:r="http://schemas.openxmlformats.org/officeDocument/2006/relationships" r:embed="rId6"/>
        <a:stretch>
          <a:fillRect/>
        </a:stretch>
      </xdr:blipFill>
      <xdr:spPr>
        <a:xfrm>
          <a:off x="2720340" y="9887649"/>
          <a:ext cx="1744980" cy="1362054"/>
        </a:xfrm>
        <a:prstGeom prst="rect">
          <a:avLst/>
        </a:prstGeom>
      </xdr:spPr>
    </xdr:pic>
    <xdr:clientData/>
  </xdr:twoCellAnchor>
  <xdr:twoCellAnchor editAs="oneCell">
    <xdr:from>
      <xdr:col>2</xdr:col>
      <xdr:colOff>118399</xdr:colOff>
      <xdr:row>25</xdr:row>
      <xdr:rowOff>289560</xdr:rowOff>
    </xdr:from>
    <xdr:to>
      <xdr:col>2</xdr:col>
      <xdr:colOff>1950959</xdr:colOff>
      <xdr:row>28</xdr:row>
      <xdr:rowOff>320223</xdr:rowOff>
    </xdr:to>
    <xdr:pic>
      <xdr:nvPicPr>
        <xdr:cNvPr id="11" name="Hình ảnh 10">
          <a:extLst>
            <a:ext uri="{FF2B5EF4-FFF2-40B4-BE49-F238E27FC236}">
              <a16:creationId xmlns:a16="http://schemas.microsoft.com/office/drawing/2014/main" id="{F536EFE1-9081-4137-B392-C672F736742B}"/>
            </a:ext>
          </a:extLst>
        </xdr:cNvPr>
        <xdr:cNvPicPr>
          <a:picLocks noChangeAspect="1"/>
        </xdr:cNvPicPr>
      </xdr:nvPicPr>
      <xdr:blipFill>
        <a:blip xmlns:r="http://schemas.openxmlformats.org/officeDocument/2006/relationships" r:embed="rId7"/>
        <a:stretch>
          <a:fillRect/>
        </a:stretch>
      </xdr:blipFill>
      <xdr:spPr>
        <a:xfrm>
          <a:off x="2709199" y="28765500"/>
          <a:ext cx="1832560" cy="1402263"/>
        </a:xfrm>
        <a:prstGeom prst="rect">
          <a:avLst/>
        </a:prstGeom>
      </xdr:spPr>
    </xdr:pic>
    <xdr:clientData/>
  </xdr:twoCellAnchor>
  <xdr:twoCellAnchor editAs="oneCell">
    <xdr:from>
      <xdr:col>2</xdr:col>
      <xdr:colOff>60960</xdr:colOff>
      <xdr:row>24</xdr:row>
      <xdr:rowOff>29187</xdr:rowOff>
    </xdr:from>
    <xdr:to>
      <xdr:col>2</xdr:col>
      <xdr:colOff>1951032</xdr:colOff>
      <xdr:row>24</xdr:row>
      <xdr:rowOff>1394684</xdr:rowOff>
    </xdr:to>
    <xdr:pic>
      <xdr:nvPicPr>
        <xdr:cNvPr id="12" name="Hình ảnh 11">
          <a:extLst>
            <a:ext uri="{FF2B5EF4-FFF2-40B4-BE49-F238E27FC236}">
              <a16:creationId xmlns:a16="http://schemas.microsoft.com/office/drawing/2014/main" id="{CAF680CF-84C6-43C9-890A-B062645EBC57}"/>
            </a:ext>
          </a:extLst>
        </xdr:cNvPr>
        <xdr:cNvPicPr>
          <a:picLocks noChangeAspect="1"/>
        </xdr:cNvPicPr>
      </xdr:nvPicPr>
      <xdr:blipFill>
        <a:blip xmlns:r="http://schemas.openxmlformats.org/officeDocument/2006/relationships" r:embed="rId8"/>
        <a:stretch>
          <a:fillRect/>
        </a:stretch>
      </xdr:blipFill>
      <xdr:spPr>
        <a:xfrm>
          <a:off x="2651760" y="27095427"/>
          <a:ext cx="1890072" cy="1365497"/>
        </a:xfrm>
        <a:prstGeom prst="rect">
          <a:avLst/>
        </a:prstGeom>
      </xdr:spPr>
    </xdr:pic>
    <xdr:clientData/>
  </xdr:twoCellAnchor>
  <xdr:twoCellAnchor editAs="oneCell">
    <xdr:from>
      <xdr:col>2</xdr:col>
      <xdr:colOff>126724</xdr:colOff>
      <xdr:row>19</xdr:row>
      <xdr:rowOff>0</xdr:rowOff>
    </xdr:from>
    <xdr:to>
      <xdr:col>2</xdr:col>
      <xdr:colOff>1874519</xdr:colOff>
      <xdr:row>20</xdr:row>
      <xdr:rowOff>68580</xdr:rowOff>
    </xdr:to>
    <xdr:pic>
      <xdr:nvPicPr>
        <xdr:cNvPr id="13" name="Hình ảnh 12">
          <a:extLst>
            <a:ext uri="{FF2B5EF4-FFF2-40B4-BE49-F238E27FC236}">
              <a16:creationId xmlns:a16="http://schemas.microsoft.com/office/drawing/2014/main" id="{8BB5D7ED-5D19-4A99-87C2-9EB282DDB09A}"/>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5618" b="90449" l="8209" r="88806">
                      <a14:foregroundMark x1="14552" y1="30337" x2="29851" y2="38202"/>
                      <a14:foregroundMark x1="28731" y1="14607" x2="47015" y2="14607"/>
                      <a14:foregroundMark x1="36194" y1="6180" x2="47388" y2="7303"/>
                      <a14:foregroundMark x1="8955" y1="37640" x2="12313" y2="47191"/>
                      <a14:foregroundMark x1="41791" y1="83708" x2="34701" y2="91011"/>
                      <a14:foregroundMark x1="17164" y1="5618" x2="44776" y2="6180"/>
                    </a14:backgroundRemoval>
                  </a14:imgEffect>
                </a14:imgLayer>
              </a14:imgProps>
            </a:ext>
            <a:ext uri="{28A0092B-C50C-407E-A947-70E740481C1C}">
              <a14:useLocalDpi xmlns:a14="http://schemas.microsoft.com/office/drawing/2010/main" val="0"/>
            </a:ext>
          </a:extLst>
        </a:blip>
        <a:srcRect/>
        <a:stretch>
          <a:fillRect/>
        </a:stretch>
      </xdr:blipFill>
      <xdr:spPr bwMode="auto">
        <a:xfrm>
          <a:off x="2717524" y="22113240"/>
          <a:ext cx="1747795" cy="1158240"/>
        </a:xfrm>
        <a:prstGeom prst="rect">
          <a:avLst/>
        </a:prstGeom>
        <a:noFill/>
        <a:ln>
          <a:noFill/>
        </a:ln>
      </xdr:spPr>
    </xdr:pic>
    <xdr:clientData/>
  </xdr:twoCellAnchor>
  <xdr:twoCellAnchor editAs="oneCell">
    <xdr:from>
      <xdr:col>2</xdr:col>
      <xdr:colOff>373380</xdr:colOff>
      <xdr:row>18</xdr:row>
      <xdr:rowOff>68203</xdr:rowOff>
    </xdr:from>
    <xdr:to>
      <xdr:col>2</xdr:col>
      <xdr:colOff>1729914</xdr:colOff>
      <xdr:row>18</xdr:row>
      <xdr:rowOff>1280315</xdr:rowOff>
    </xdr:to>
    <xdr:pic>
      <xdr:nvPicPr>
        <xdr:cNvPr id="14" name="Hình ảnh 13">
          <a:extLst>
            <a:ext uri="{FF2B5EF4-FFF2-40B4-BE49-F238E27FC236}">
              <a16:creationId xmlns:a16="http://schemas.microsoft.com/office/drawing/2014/main" id="{B474611E-328A-4B72-801B-5685D0E05FE0}"/>
            </a:ext>
          </a:extLst>
        </xdr:cNvPr>
        <xdr:cNvPicPr>
          <a:picLocks noChangeAspect="1"/>
        </xdr:cNvPicPr>
      </xdr:nvPicPr>
      <xdr:blipFill>
        <a:blip xmlns:r="http://schemas.openxmlformats.org/officeDocument/2006/relationships" r:embed="rId11"/>
        <a:stretch>
          <a:fillRect/>
        </a:stretch>
      </xdr:blipFill>
      <xdr:spPr>
        <a:xfrm>
          <a:off x="2964180" y="20878423"/>
          <a:ext cx="1356534" cy="1212112"/>
        </a:xfrm>
        <a:prstGeom prst="rect">
          <a:avLst/>
        </a:prstGeom>
      </xdr:spPr>
    </xdr:pic>
    <xdr:clientData/>
  </xdr:twoCellAnchor>
  <xdr:twoCellAnchor editAs="oneCell">
    <xdr:from>
      <xdr:col>2</xdr:col>
      <xdr:colOff>29934</xdr:colOff>
      <xdr:row>12</xdr:row>
      <xdr:rowOff>83819</xdr:rowOff>
    </xdr:from>
    <xdr:to>
      <xdr:col>3</xdr:col>
      <xdr:colOff>265</xdr:colOff>
      <xdr:row>12</xdr:row>
      <xdr:rowOff>1112658</xdr:rowOff>
    </xdr:to>
    <xdr:pic>
      <xdr:nvPicPr>
        <xdr:cNvPr id="15" name="Hình ảnh 14">
          <a:extLst>
            <a:ext uri="{FF2B5EF4-FFF2-40B4-BE49-F238E27FC236}">
              <a16:creationId xmlns:a16="http://schemas.microsoft.com/office/drawing/2014/main" id="{04731A08-7131-4725-AA46-B464AFFBBEF3}"/>
            </a:ext>
          </a:extLst>
        </xdr:cNvPr>
        <xdr:cNvPicPr>
          <a:picLocks noChangeAspect="1"/>
        </xdr:cNvPicPr>
      </xdr:nvPicPr>
      <xdr:blipFill>
        <a:blip xmlns:r="http://schemas.openxmlformats.org/officeDocument/2006/relationships" r:embed="rId12"/>
        <a:stretch>
          <a:fillRect/>
        </a:stretch>
      </xdr:blipFill>
      <xdr:spPr>
        <a:xfrm>
          <a:off x="2620734" y="13159739"/>
          <a:ext cx="1974391" cy="1028839"/>
        </a:xfrm>
        <a:prstGeom prst="rect">
          <a:avLst/>
        </a:prstGeom>
      </xdr:spPr>
    </xdr:pic>
    <xdr:clientData/>
  </xdr:twoCellAnchor>
  <xdr:twoCellAnchor editAs="oneCell">
    <xdr:from>
      <xdr:col>2</xdr:col>
      <xdr:colOff>121920</xdr:colOff>
      <xdr:row>13</xdr:row>
      <xdr:rowOff>69589</xdr:rowOff>
    </xdr:from>
    <xdr:to>
      <xdr:col>2</xdr:col>
      <xdr:colOff>1707079</xdr:colOff>
      <xdr:row>13</xdr:row>
      <xdr:rowOff>1623255</xdr:rowOff>
    </xdr:to>
    <xdr:pic>
      <xdr:nvPicPr>
        <xdr:cNvPr id="16" name="Hình ảnh 15">
          <a:extLst>
            <a:ext uri="{FF2B5EF4-FFF2-40B4-BE49-F238E27FC236}">
              <a16:creationId xmlns:a16="http://schemas.microsoft.com/office/drawing/2014/main" id="{EE1E27E8-4048-4C30-B97D-3FC49901476F}"/>
            </a:ext>
          </a:extLst>
        </xdr:cNvPr>
        <xdr:cNvPicPr>
          <a:picLocks noChangeAspect="1"/>
        </xdr:cNvPicPr>
      </xdr:nvPicPr>
      <xdr:blipFill>
        <a:blip xmlns:r="http://schemas.openxmlformats.org/officeDocument/2006/relationships" r:embed="rId13"/>
        <a:stretch>
          <a:fillRect/>
        </a:stretch>
      </xdr:blipFill>
      <xdr:spPr>
        <a:xfrm>
          <a:off x="2712720" y="14334229"/>
          <a:ext cx="1585159" cy="1553666"/>
        </a:xfrm>
        <a:prstGeom prst="rect">
          <a:avLst/>
        </a:prstGeom>
      </xdr:spPr>
    </xdr:pic>
    <xdr:clientData/>
  </xdr:twoCellAnchor>
  <xdr:twoCellAnchor editAs="oneCell">
    <xdr:from>
      <xdr:col>2</xdr:col>
      <xdr:colOff>23106</xdr:colOff>
      <xdr:row>14</xdr:row>
      <xdr:rowOff>38100</xdr:rowOff>
    </xdr:from>
    <xdr:to>
      <xdr:col>2</xdr:col>
      <xdr:colOff>1953895</xdr:colOff>
      <xdr:row>15</xdr:row>
      <xdr:rowOff>884125</xdr:rowOff>
    </xdr:to>
    <xdr:pic>
      <xdr:nvPicPr>
        <xdr:cNvPr id="17" name="Hình ảnh 16">
          <a:extLst>
            <a:ext uri="{FF2B5EF4-FFF2-40B4-BE49-F238E27FC236}">
              <a16:creationId xmlns:a16="http://schemas.microsoft.com/office/drawing/2014/main" id="{E9102422-686F-49CF-842B-4C5BA5FF05BD}"/>
            </a:ext>
          </a:extLst>
        </xdr:cNvPr>
        <xdr:cNvPicPr>
          <a:picLocks noChangeAspect="1"/>
        </xdr:cNvPicPr>
      </xdr:nvPicPr>
      <xdr:blipFill>
        <a:blip xmlns:r="http://schemas.openxmlformats.org/officeDocument/2006/relationships" r:embed="rId14"/>
        <a:stretch>
          <a:fillRect/>
        </a:stretch>
      </xdr:blipFill>
      <xdr:spPr>
        <a:xfrm>
          <a:off x="2613906" y="16009620"/>
          <a:ext cx="1930789" cy="1760425"/>
        </a:xfrm>
        <a:prstGeom prst="rect">
          <a:avLst/>
        </a:prstGeom>
      </xdr:spPr>
    </xdr:pic>
    <xdr:clientData/>
  </xdr:twoCellAnchor>
  <xdr:twoCellAnchor editAs="oneCell">
    <xdr:from>
      <xdr:col>2</xdr:col>
      <xdr:colOff>259081</xdr:colOff>
      <xdr:row>16</xdr:row>
      <xdr:rowOff>76200</xdr:rowOff>
    </xdr:from>
    <xdr:to>
      <xdr:col>2</xdr:col>
      <xdr:colOff>1699261</xdr:colOff>
      <xdr:row>16</xdr:row>
      <xdr:rowOff>1443281</xdr:rowOff>
    </xdr:to>
    <xdr:pic>
      <xdr:nvPicPr>
        <xdr:cNvPr id="18" name="Hình ảnh 17">
          <a:extLst>
            <a:ext uri="{FF2B5EF4-FFF2-40B4-BE49-F238E27FC236}">
              <a16:creationId xmlns:a16="http://schemas.microsoft.com/office/drawing/2014/main" id="{D659BC88-7557-4B5C-914B-E60DC23B9BFE}"/>
            </a:ext>
          </a:extLst>
        </xdr:cNvPr>
        <xdr:cNvPicPr>
          <a:picLocks noChangeAspect="1"/>
        </xdr:cNvPicPr>
      </xdr:nvPicPr>
      <xdr:blipFill>
        <a:blip xmlns:r="http://schemas.openxmlformats.org/officeDocument/2006/relationships" r:embed="rId15"/>
        <a:stretch>
          <a:fillRect/>
        </a:stretch>
      </xdr:blipFill>
      <xdr:spPr>
        <a:xfrm>
          <a:off x="2849881" y="17876520"/>
          <a:ext cx="1440180" cy="1367081"/>
        </a:xfrm>
        <a:prstGeom prst="rect">
          <a:avLst/>
        </a:prstGeom>
      </xdr:spPr>
    </xdr:pic>
    <xdr:clientData/>
  </xdr:twoCellAnchor>
  <xdr:twoCellAnchor editAs="oneCell">
    <xdr:from>
      <xdr:col>2</xdr:col>
      <xdr:colOff>274321</xdr:colOff>
      <xdr:row>17</xdr:row>
      <xdr:rowOff>15241</xdr:rowOff>
    </xdr:from>
    <xdr:to>
      <xdr:col>2</xdr:col>
      <xdr:colOff>1661161</xdr:colOff>
      <xdr:row>17</xdr:row>
      <xdr:rowOff>1428879</xdr:rowOff>
    </xdr:to>
    <xdr:pic>
      <xdr:nvPicPr>
        <xdr:cNvPr id="19" name="Hình ảnh 18">
          <a:extLst>
            <a:ext uri="{FF2B5EF4-FFF2-40B4-BE49-F238E27FC236}">
              <a16:creationId xmlns:a16="http://schemas.microsoft.com/office/drawing/2014/main" id="{C61AFFB6-4765-42CF-96AA-C74643947629}"/>
            </a:ext>
          </a:extLst>
        </xdr:cNvPr>
        <xdr:cNvPicPr>
          <a:picLocks noChangeAspect="1"/>
        </xdr:cNvPicPr>
      </xdr:nvPicPr>
      <xdr:blipFill>
        <a:blip xmlns:r="http://schemas.openxmlformats.org/officeDocument/2006/relationships" r:embed="rId16"/>
        <a:stretch>
          <a:fillRect/>
        </a:stretch>
      </xdr:blipFill>
      <xdr:spPr>
        <a:xfrm>
          <a:off x="2865121" y="19301461"/>
          <a:ext cx="1386840" cy="14136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198120</xdr:colOff>
      <xdr:row>0</xdr:row>
      <xdr:rowOff>182880</xdr:rowOff>
    </xdr:from>
    <xdr:to>
      <xdr:col>1</xdr:col>
      <xdr:colOff>1938020</xdr:colOff>
      <xdr:row>0</xdr:row>
      <xdr:rowOff>1109980</xdr:rowOff>
    </xdr:to>
    <xdr:pic>
      <xdr:nvPicPr>
        <xdr:cNvPr id="2" name="Picture 19">
          <a:extLst>
            <a:ext uri="{FF2B5EF4-FFF2-40B4-BE49-F238E27FC236}">
              <a16:creationId xmlns:a16="http://schemas.microsoft.com/office/drawing/2014/main" id="{8D68D4F5-A939-40F4-B55B-50BE8AAC34BA}"/>
            </a:ext>
          </a:extLst>
        </xdr:cNvPr>
        <xdr:cNvPicPr>
          <a:picLocks noChangeAspect="1"/>
        </xdr:cNvPicPr>
      </xdr:nvPicPr>
      <xdr:blipFill>
        <a:blip xmlns:r="http://schemas.openxmlformats.org/officeDocument/2006/relationships" r:embed="rId1"/>
        <a:stretch>
          <a:fillRect/>
        </a:stretch>
      </xdr:blipFill>
      <xdr:spPr>
        <a:xfrm>
          <a:off x="198120" y="182880"/>
          <a:ext cx="2113280" cy="927100"/>
        </a:xfrm>
        <a:prstGeom prst="rect">
          <a:avLst/>
        </a:prstGeom>
      </xdr:spPr>
    </xdr:pic>
    <xdr:clientData/>
  </xdr:twoCellAnchor>
  <xdr:twoCellAnchor editAs="oneCell">
    <xdr:from>
      <xdr:col>2</xdr:col>
      <xdr:colOff>76200</xdr:colOff>
      <xdr:row>5</xdr:row>
      <xdr:rowOff>45721</xdr:rowOff>
    </xdr:from>
    <xdr:to>
      <xdr:col>2</xdr:col>
      <xdr:colOff>1935480</xdr:colOff>
      <xdr:row>5</xdr:row>
      <xdr:rowOff>1554481</xdr:rowOff>
    </xdr:to>
    <xdr:pic>
      <xdr:nvPicPr>
        <xdr:cNvPr id="3" name="Hình ảnh 2">
          <a:extLst>
            <a:ext uri="{FF2B5EF4-FFF2-40B4-BE49-F238E27FC236}">
              <a16:creationId xmlns:a16="http://schemas.microsoft.com/office/drawing/2014/main" id="{348F61F7-2160-481A-9A0F-3834CD121BCE}"/>
            </a:ext>
          </a:extLst>
        </xdr:cNvPr>
        <xdr:cNvPicPr>
          <a:picLocks noChangeAspect="1"/>
        </xdr:cNvPicPr>
      </xdr:nvPicPr>
      <xdr:blipFill>
        <a:blip xmlns:r="http://schemas.openxmlformats.org/officeDocument/2006/relationships" r:embed="rId2"/>
        <a:stretch>
          <a:fillRect/>
        </a:stretch>
      </xdr:blipFill>
      <xdr:spPr>
        <a:xfrm>
          <a:off x="2667000" y="3596641"/>
          <a:ext cx="1859280" cy="1508760"/>
        </a:xfrm>
        <a:prstGeom prst="rect">
          <a:avLst/>
        </a:prstGeom>
      </xdr:spPr>
    </xdr:pic>
    <xdr:clientData/>
  </xdr:twoCellAnchor>
  <xdr:twoCellAnchor editAs="oneCell">
    <xdr:from>
      <xdr:col>2</xdr:col>
      <xdr:colOff>68580</xdr:colOff>
      <xdr:row>6</xdr:row>
      <xdr:rowOff>53340</xdr:rowOff>
    </xdr:from>
    <xdr:to>
      <xdr:col>2</xdr:col>
      <xdr:colOff>1927860</xdr:colOff>
      <xdr:row>6</xdr:row>
      <xdr:rowOff>1562100</xdr:rowOff>
    </xdr:to>
    <xdr:pic>
      <xdr:nvPicPr>
        <xdr:cNvPr id="4" name="Hình ảnh 3">
          <a:extLst>
            <a:ext uri="{FF2B5EF4-FFF2-40B4-BE49-F238E27FC236}">
              <a16:creationId xmlns:a16="http://schemas.microsoft.com/office/drawing/2014/main" id="{4F7D9F4D-EB2A-4C82-8D91-D86E9F64B2A2}"/>
            </a:ext>
          </a:extLst>
        </xdr:cNvPr>
        <xdr:cNvPicPr>
          <a:picLocks noChangeAspect="1"/>
        </xdr:cNvPicPr>
      </xdr:nvPicPr>
      <xdr:blipFill>
        <a:blip xmlns:r="http://schemas.openxmlformats.org/officeDocument/2006/relationships" r:embed="rId2"/>
        <a:stretch>
          <a:fillRect/>
        </a:stretch>
      </xdr:blipFill>
      <xdr:spPr>
        <a:xfrm>
          <a:off x="2659380" y="5181600"/>
          <a:ext cx="1859280" cy="1508760"/>
        </a:xfrm>
        <a:prstGeom prst="rect">
          <a:avLst/>
        </a:prstGeom>
      </xdr:spPr>
    </xdr:pic>
    <xdr:clientData/>
  </xdr:twoCellAnchor>
  <xdr:twoCellAnchor editAs="oneCell">
    <xdr:from>
      <xdr:col>2</xdr:col>
      <xdr:colOff>91440</xdr:colOff>
      <xdr:row>7</xdr:row>
      <xdr:rowOff>45720</xdr:rowOff>
    </xdr:from>
    <xdr:to>
      <xdr:col>2</xdr:col>
      <xdr:colOff>1950720</xdr:colOff>
      <xdr:row>7</xdr:row>
      <xdr:rowOff>1554480</xdr:rowOff>
    </xdr:to>
    <xdr:pic>
      <xdr:nvPicPr>
        <xdr:cNvPr id="5" name="Hình ảnh 4">
          <a:extLst>
            <a:ext uri="{FF2B5EF4-FFF2-40B4-BE49-F238E27FC236}">
              <a16:creationId xmlns:a16="http://schemas.microsoft.com/office/drawing/2014/main" id="{4ADED280-50F9-4751-B3D8-3D65BF09B286}"/>
            </a:ext>
          </a:extLst>
        </xdr:cNvPr>
        <xdr:cNvPicPr>
          <a:picLocks noChangeAspect="1"/>
        </xdr:cNvPicPr>
      </xdr:nvPicPr>
      <xdr:blipFill>
        <a:blip xmlns:r="http://schemas.openxmlformats.org/officeDocument/2006/relationships" r:embed="rId2"/>
        <a:stretch>
          <a:fillRect/>
        </a:stretch>
      </xdr:blipFill>
      <xdr:spPr>
        <a:xfrm>
          <a:off x="2682240" y="6751320"/>
          <a:ext cx="1859280" cy="1508760"/>
        </a:xfrm>
        <a:prstGeom prst="rect">
          <a:avLst/>
        </a:prstGeom>
      </xdr:spPr>
    </xdr:pic>
    <xdr:clientData/>
  </xdr:twoCellAnchor>
  <xdr:twoCellAnchor editAs="oneCell">
    <xdr:from>
      <xdr:col>2</xdr:col>
      <xdr:colOff>99060</xdr:colOff>
      <xdr:row>8</xdr:row>
      <xdr:rowOff>60960</xdr:rowOff>
    </xdr:from>
    <xdr:to>
      <xdr:col>2</xdr:col>
      <xdr:colOff>1958340</xdr:colOff>
      <xdr:row>8</xdr:row>
      <xdr:rowOff>1569720</xdr:rowOff>
    </xdr:to>
    <xdr:pic>
      <xdr:nvPicPr>
        <xdr:cNvPr id="6" name="Hình ảnh 5">
          <a:extLst>
            <a:ext uri="{FF2B5EF4-FFF2-40B4-BE49-F238E27FC236}">
              <a16:creationId xmlns:a16="http://schemas.microsoft.com/office/drawing/2014/main" id="{6614C06E-8906-4C65-B347-B2F8B63E5B59}"/>
            </a:ext>
          </a:extLst>
        </xdr:cNvPr>
        <xdr:cNvPicPr>
          <a:picLocks noChangeAspect="1"/>
        </xdr:cNvPicPr>
      </xdr:nvPicPr>
      <xdr:blipFill>
        <a:blip xmlns:r="http://schemas.openxmlformats.org/officeDocument/2006/relationships" r:embed="rId2"/>
        <a:stretch>
          <a:fillRect/>
        </a:stretch>
      </xdr:blipFill>
      <xdr:spPr>
        <a:xfrm>
          <a:off x="2689860" y="8343900"/>
          <a:ext cx="1859280" cy="1508760"/>
        </a:xfrm>
        <a:prstGeom prst="rect">
          <a:avLst/>
        </a:prstGeom>
      </xdr:spPr>
    </xdr:pic>
    <xdr:clientData/>
  </xdr:twoCellAnchor>
  <xdr:twoCellAnchor editAs="oneCell">
    <xdr:from>
      <xdr:col>2</xdr:col>
      <xdr:colOff>556260</xdr:colOff>
      <xdr:row>23</xdr:row>
      <xdr:rowOff>106680</xdr:rowOff>
    </xdr:from>
    <xdr:to>
      <xdr:col>2</xdr:col>
      <xdr:colOff>1394533</xdr:colOff>
      <xdr:row>23</xdr:row>
      <xdr:rowOff>845884</xdr:rowOff>
    </xdr:to>
    <xdr:pic>
      <xdr:nvPicPr>
        <xdr:cNvPr id="7" name="Hình ảnh 6">
          <a:extLst>
            <a:ext uri="{FF2B5EF4-FFF2-40B4-BE49-F238E27FC236}">
              <a16:creationId xmlns:a16="http://schemas.microsoft.com/office/drawing/2014/main" id="{618596B9-CB46-4F4B-9420-FC11B3A49E6F}"/>
            </a:ext>
          </a:extLst>
        </xdr:cNvPr>
        <xdr:cNvPicPr>
          <a:picLocks noChangeAspect="1"/>
        </xdr:cNvPicPr>
      </xdr:nvPicPr>
      <xdr:blipFill>
        <a:blip xmlns:r="http://schemas.openxmlformats.org/officeDocument/2006/relationships" r:embed="rId3"/>
        <a:stretch>
          <a:fillRect/>
        </a:stretch>
      </xdr:blipFill>
      <xdr:spPr>
        <a:xfrm>
          <a:off x="3147060" y="26258520"/>
          <a:ext cx="838273" cy="739204"/>
        </a:xfrm>
        <a:prstGeom prst="rect">
          <a:avLst/>
        </a:prstGeom>
      </xdr:spPr>
    </xdr:pic>
    <xdr:clientData/>
  </xdr:twoCellAnchor>
  <xdr:twoCellAnchor editAs="oneCell">
    <xdr:from>
      <xdr:col>2</xdr:col>
      <xdr:colOff>411479</xdr:colOff>
      <xdr:row>20</xdr:row>
      <xdr:rowOff>53340</xdr:rowOff>
    </xdr:from>
    <xdr:to>
      <xdr:col>2</xdr:col>
      <xdr:colOff>1576958</xdr:colOff>
      <xdr:row>20</xdr:row>
      <xdr:rowOff>929640</xdr:rowOff>
    </xdr:to>
    <xdr:pic>
      <xdr:nvPicPr>
        <xdr:cNvPr id="8" name="Hình ảnh 7">
          <a:extLst>
            <a:ext uri="{FF2B5EF4-FFF2-40B4-BE49-F238E27FC236}">
              <a16:creationId xmlns:a16="http://schemas.microsoft.com/office/drawing/2014/main" id="{7C9DEEFB-726D-4D90-B602-58D450472399}"/>
            </a:ext>
          </a:extLst>
        </xdr:cNvPr>
        <xdr:cNvPicPr>
          <a:picLocks noChangeAspect="1"/>
        </xdr:cNvPicPr>
      </xdr:nvPicPr>
      <xdr:blipFill>
        <a:blip xmlns:r="http://schemas.openxmlformats.org/officeDocument/2006/relationships" r:embed="rId4"/>
        <a:stretch>
          <a:fillRect/>
        </a:stretch>
      </xdr:blipFill>
      <xdr:spPr>
        <a:xfrm>
          <a:off x="3002279" y="23256240"/>
          <a:ext cx="1165479" cy="876300"/>
        </a:xfrm>
        <a:prstGeom prst="rect">
          <a:avLst/>
        </a:prstGeom>
      </xdr:spPr>
    </xdr:pic>
    <xdr:clientData/>
  </xdr:twoCellAnchor>
  <xdr:twoCellAnchor editAs="oneCell">
    <xdr:from>
      <xdr:col>2</xdr:col>
      <xdr:colOff>15240</xdr:colOff>
      <xdr:row>10</xdr:row>
      <xdr:rowOff>53339</xdr:rowOff>
    </xdr:from>
    <xdr:to>
      <xdr:col>2</xdr:col>
      <xdr:colOff>1973580</xdr:colOff>
      <xdr:row>11</xdr:row>
      <xdr:rowOff>855767</xdr:rowOff>
    </xdr:to>
    <xdr:pic>
      <xdr:nvPicPr>
        <xdr:cNvPr id="9" name="Hình ảnh 8">
          <a:extLst>
            <a:ext uri="{FF2B5EF4-FFF2-40B4-BE49-F238E27FC236}">
              <a16:creationId xmlns:a16="http://schemas.microsoft.com/office/drawing/2014/main" id="{5665CD97-B519-4014-B656-8BD68CD81BEE}"/>
            </a:ext>
          </a:extLst>
        </xdr:cNvPr>
        <xdr:cNvPicPr>
          <a:picLocks noChangeAspect="1"/>
        </xdr:cNvPicPr>
      </xdr:nvPicPr>
      <xdr:blipFill>
        <a:blip xmlns:r="http://schemas.openxmlformats.org/officeDocument/2006/relationships" r:embed="rId5"/>
        <a:stretch>
          <a:fillRect/>
        </a:stretch>
      </xdr:blipFill>
      <xdr:spPr>
        <a:xfrm>
          <a:off x="2606040" y="11300459"/>
          <a:ext cx="1958340" cy="1716828"/>
        </a:xfrm>
        <a:prstGeom prst="rect">
          <a:avLst/>
        </a:prstGeom>
      </xdr:spPr>
    </xdr:pic>
    <xdr:clientData/>
  </xdr:twoCellAnchor>
  <xdr:twoCellAnchor editAs="oneCell">
    <xdr:from>
      <xdr:col>2</xdr:col>
      <xdr:colOff>129540</xdr:colOff>
      <xdr:row>9</xdr:row>
      <xdr:rowOff>27369</xdr:rowOff>
    </xdr:from>
    <xdr:to>
      <xdr:col>2</xdr:col>
      <xdr:colOff>1874520</xdr:colOff>
      <xdr:row>10</xdr:row>
      <xdr:rowOff>2583</xdr:rowOff>
    </xdr:to>
    <xdr:pic>
      <xdr:nvPicPr>
        <xdr:cNvPr id="10" name="Hình ảnh 9">
          <a:extLst>
            <a:ext uri="{FF2B5EF4-FFF2-40B4-BE49-F238E27FC236}">
              <a16:creationId xmlns:a16="http://schemas.microsoft.com/office/drawing/2014/main" id="{DA2186B8-0B43-4FB3-85D4-19A69B450394}"/>
            </a:ext>
          </a:extLst>
        </xdr:cNvPr>
        <xdr:cNvPicPr>
          <a:picLocks noChangeAspect="1"/>
        </xdr:cNvPicPr>
      </xdr:nvPicPr>
      <xdr:blipFill>
        <a:blip xmlns:r="http://schemas.openxmlformats.org/officeDocument/2006/relationships" r:embed="rId6"/>
        <a:stretch>
          <a:fillRect/>
        </a:stretch>
      </xdr:blipFill>
      <xdr:spPr>
        <a:xfrm>
          <a:off x="2720340" y="9887649"/>
          <a:ext cx="1744980" cy="1362054"/>
        </a:xfrm>
        <a:prstGeom prst="rect">
          <a:avLst/>
        </a:prstGeom>
      </xdr:spPr>
    </xdr:pic>
    <xdr:clientData/>
  </xdr:twoCellAnchor>
  <xdr:twoCellAnchor editAs="oneCell">
    <xdr:from>
      <xdr:col>2</xdr:col>
      <xdr:colOff>118399</xdr:colOff>
      <xdr:row>25</xdr:row>
      <xdr:rowOff>289560</xdr:rowOff>
    </xdr:from>
    <xdr:to>
      <xdr:col>2</xdr:col>
      <xdr:colOff>1950959</xdr:colOff>
      <xdr:row>28</xdr:row>
      <xdr:rowOff>320223</xdr:rowOff>
    </xdr:to>
    <xdr:pic>
      <xdr:nvPicPr>
        <xdr:cNvPr id="11" name="Hình ảnh 10">
          <a:extLst>
            <a:ext uri="{FF2B5EF4-FFF2-40B4-BE49-F238E27FC236}">
              <a16:creationId xmlns:a16="http://schemas.microsoft.com/office/drawing/2014/main" id="{07FF66F3-97CB-4D4D-8E93-FE2BF16FA2F3}"/>
            </a:ext>
          </a:extLst>
        </xdr:cNvPr>
        <xdr:cNvPicPr>
          <a:picLocks noChangeAspect="1"/>
        </xdr:cNvPicPr>
      </xdr:nvPicPr>
      <xdr:blipFill>
        <a:blip xmlns:r="http://schemas.openxmlformats.org/officeDocument/2006/relationships" r:embed="rId7"/>
        <a:stretch>
          <a:fillRect/>
        </a:stretch>
      </xdr:blipFill>
      <xdr:spPr>
        <a:xfrm>
          <a:off x="2709199" y="28765500"/>
          <a:ext cx="1832560" cy="1402263"/>
        </a:xfrm>
        <a:prstGeom prst="rect">
          <a:avLst/>
        </a:prstGeom>
      </xdr:spPr>
    </xdr:pic>
    <xdr:clientData/>
  </xdr:twoCellAnchor>
  <xdr:twoCellAnchor editAs="oneCell">
    <xdr:from>
      <xdr:col>2</xdr:col>
      <xdr:colOff>60960</xdr:colOff>
      <xdr:row>24</xdr:row>
      <xdr:rowOff>29187</xdr:rowOff>
    </xdr:from>
    <xdr:to>
      <xdr:col>2</xdr:col>
      <xdr:colOff>1951032</xdr:colOff>
      <xdr:row>24</xdr:row>
      <xdr:rowOff>1394684</xdr:rowOff>
    </xdr:to>
    <xdr:pic>
      <xdr:nvPicPr>
        <xdr:cNvPr id="12" name="Hình ảnh 11">
          <a:extLst>
            <a:ext uri="{FF2B5EF4-FFF2-40B4-BE49-F238E27FC236}">
              <a16:creationId xmlns:a16="http://schemas.microsoft.com/office/drawing/2014/main" id="{F00D5552-D0D9-46F7-B4DD-DFE12825EBE7}"/>
            </a:ext>
          </a:extLst>
        </xdr:cNvPr>
        <xdr:cNvPicPr>
          <a:picLocks noChangeAspect="1"/>
        </xdr:cNvPicPr>
      </xdr:nvPicPr>
      <xdr:blipFill>
        <a:blip xmlns:r="http://schemas.openxmlformats.org/officeDocument/2006/relationships" r:embed="rId8"/>
        <a:stretch>
          <a:fillRect/>
        </a:stretch>
      </xdr:blipFill>
      <xdr:spPr>
        <a:xfrm>
          <a:off x="2651760" y="27095427"/>
          <a:ext cx="1890072" cy="1365497"/>
        </a:xfrm>
        <a:prstGeom prst="rect">
          <a:avLst/>
        </a:prstGeom>
      </xdr:spPr>
    </xdr:pic>
    <xdr:clientData/>
  </xdr:twoCellAnchor>
  <xdr:twoCellAnchor editAs="oneCell">
    <xdr:from>
      <xdr:col>2</xdr:col>
      <xdr:colOff>126724</xdr:colOff>
      <xdr:row>19</xdr:row>
      <xdr:rowOff>0</xdr:rowOff>
    </xdr:from>
    <xdr:to>
      <xdr:col>2</xdr:col>
      <xdr:colOff>1874519</xdr:colOff>
      <xdr:row>20</xdr:row>
      <xdr:rowOff>68580</xdr:rowOff>
    </xdr:to>
    <xdr:pic>
      <xdr:nvPicPr>
        <xdr:cNvPr id="13" name="Hình ảnh 12">
          <a:extLst>
            <a:ext uri="{FF2B5EF4-FFF2-40B4-BE49-F238E27FC236}">
              <a16:creationId xmlns:a16="http://schemas.microsoft.com/office/drawing/2014/main" id="{CEC674F5-896C-4715-8728-FC069214F8D3}"/>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5618" b="90449" l="8209" r="88806">
                      <a14:foregroundMark x1="14552" y1="30337" x2="29851" y2="38202"/>
                      <a14:foregroundMark x1="28731" y1="14607" x2="47015" y2="14607"/>
                      <a14:foregroundMark x1="36194" y1="6180" x2="47388" y2="7303"/>
                      <a14:foregroundMark x1="8955" y1="37640" x2="12313" y2="47191"/>
                      <a14:foregroundMark x1="41791" y1="83708" x2="34701" y2="91011"/>
                      <a14:foregroundMark x1="17164" y1="5618" x2="44776" y2="6180"/>
                    </a14:backgroundRemoval>
                  </a14:imgEffect>
                </a14:imgLayer>
              </a14:imgProps>
            </a:ext>
            <a:ext uri="{28A0092B-C50C-407E-A947-70E740481C1C}">
              <a14:useLocalDpi xmlns:a14="http://schemas.microsoft.com/office/drawing/2010/main" val="0"/>
            </a:ext>
          </a:extLst>
        </a:blip>
        <a:srcRect/>
        <a:stretch>
          <a:fillRect/>
        </a:stretch>
      </xdr:blipFill>
      <xdr:spPr bwMode="auto">
        <a:xfrm>
          <a:off x="2717524" y="22113240"/>
          <a:ext cx="1747795" cy="1158240"/>
        </a:xfrm>
        <a:prstGeom prst="rect">
          <a:avLst/>
        </a:prstGeom>
        <a:noFill/>
        <a:ln>
          <a:noFill/>
        </a:ln>
      </xdr:spPr>
    </xdr:pic>
    <xdr:clientData/>
  </xdr:twoCellAnchor>
  <xdr:twoCellAnchor editAs="oneCell">
    <xdr:from>
      <xdr:col>2</xdr:col>
      <xdr:colOff>373380</xdr:colOff>
      <xdr:row>18</xdr:row>
      <xdr:rowOff>68203</xdr:rowOff>
    </xdr:from>
    <xdr:to>
      <xdr:col>2</xdr:col>
      <xdr:colOff>1729914</xdr:colOff>
      <xdr:row>18</xdr:row>
      <xdr:rowOff>1280315</xdr:rowOff>
    </xdr:to>
    <xdr:pic>
      <xdr:nvPicPr>
        <xdr:cNvPr id="14" name="Hình ảnh 13">
          <a:extLst>
            <a:ext uri="{FF2B5EF4-FFF2-40B4-BE49-F238E27FC236}">
              <a16:creationId xmlns:a16="http://schemas.microsoft.com/office/drawing/2014/main" id="{2EDE1429-49C8-4C60-AD2F-3E0F435CC939}"/>
            </a:ext>
          </a:extLst>
        </xdr:cNvPr>
        <xdr:cNvPicPr>
          <a:picLocks noChangeAspect="1"/>
        </xdr:cNvPicPr>
      </xdr:nvPicPr>
      <xdr:blipFill>
        <a:blip xmlns:r="http://schemas.openxmlformats.org/officeDocument/2006/relationships" r:embed="rId11"/>
        <a:stretch>
          <a:fillRect/>
        </a:stretch>
      </xdr:blipFill>
      <xdr:spPr>
        <a:xfrm>
          <a:off x="2964180" y="20878423"/>
          <a:ext cx="1356534" cy="1212112"/>
        </a:xfrm>
        <a:prstGeom prst="rect">
          <a:avLst/>
        </a:prstGeom>
      </xdr:spPr>
    </xdr:pic>
    <xdr:clientData/>
  </xdr:twoCellAnchor>
  <xdr:twoCellAnchor editAs="oneCell">
    <xdr:from>
      <xdr:col>2</xdr:col>
      <xdr:colOff>29934</xdr:colOff>
      <xdr:row>12</xdr:row>
      <xdr:rowOff>83819</xdr:rowOff>
    </xdr:from>
    <xdr:to>
      <xdr:col>3</xdr:col>
      <xdr:colOff>265</xdr:colOff>
      <xdr:row>12</xdr:row>
      <xdr:rowOff>1112658</xdr:rowOff>
    </xdr:to>
    <xdr:pic>
      <xdr:nvPicPr>
        <xdr:cNvPr id="15" name="Hình ảnh 14">
          <a:extLst>
            <a:ext uri="{FF2B5EF4-FFF2-40B4-BE49-F238E27FC236}">
              <a16:creationId xmlns:a16="http://schemas.microsoft.com/office/drawing/2014/main" id="{EA150155-E388-4443-9A8D-15147823F95E}"/>
            </a:ext>
          </a:extLst>
        </xdr:cNvPr>
        <xdr:cNvPicPr>
          <a:picLocks noChangeAspect="1"/>
        </xdr:cNvPicPr>
      </xdr:nvPicPr>
      <xdr:blipFill>
        <a:blip xmlns:r="http://schemas.openxmlformats.org/officeDocument/2006/relationships" r:embed="rId12"/>
        <a:stretch>
          <a:fillRect/>
        </a:stretch>
      </xdr:blipFill>
      <xdr:spPr>
        <a:xfrm>
          <a:off x="2620734" y="13159739"/>
          <a:ext cx="1974391" cy="1028839"/>
        </a:xfrm>
        <a:prstGeom prst="rect">
          <a:avLst/>
        </a:prstGeom>
      </xdr:spPr>
    </xdr:pic>
    <xdr:clientData/>
  </xdr:twoCellAnchor>
  <xdr:twoCellAnchor editAs="oneCell">
    <xdr:from>
      <xdr:col>2</xdr:col>
      <xdr:colOff>121920</xdr:colOff>
      <xdr:row>13</xdr:row>
      <xdr:rowOff>69589</xdr:rowOff>
    </xdr:from>
    <xdr:to>
      <xdr:col>2</xdr:col>
      <xdr:colOff>1707079</xdr:colOff>
      <xdr:row>13</xdr:row>
      <xdr:rowOff>1623255</xdr:rowOff>
    </xdr:to>
    <xdr:pic>
      <xdr:nvPicPr>
        <xdr:cNvPr id="16" name="Hình ảnh 15">
          <a:extLst>
            <a:ext uri="{FF2B5EF4-FFF2-40B4-BE49-F238E27FC236}">
              <a16:creationId xmlns:a16="http://schemas.microsoft.com/office/drawing/2014/main" id="{BA7AF1CC-AC60-448C-9CE1-C611A800AC33}"/>
            </a:ext>
          </a:extLst>
        </xdr:cNvPr>
        <xdr:cNvPicPr>
          <a:picLocks noChangeAspect="1"/>
        </xdr:cNvPicPr>
      </xdr:nvPicPr>
      <xdr:blipFill>
        <a:blip xmlns:r="http://schemas.openxmlformats.org/officeDocument/2006/relationships" r:embed="rId13"/>
        <a:stretch>
          <a:fillRect/>
        </a:stretch>
      </xdr:blipFill>
      <xdr:spPr>
        <a:xfrm>
          <a:off x="2712720" y="14334229"/>
          <a:ext cx="1585159" cy="1553666"/>
        </a:xfrm>
        <a:prstGeom prst="rect">
          <a:avLst/>
        </a:prstGeom>
      </xdr:spPr>
    </xdr:pic>
    <xdr:clientData/>
  </xdr:twoCellAnchor>
  <xdr:twoCellAnchor editAs="oneCell">
    <xdr:from>
      <xdr:col>2</xdr:col>
      <xdr:colOff>23106</xdr:colOff>
      <xdr:row>14</xdr:row>
      <xdr:rowOff>38100</xdr:rowOff>
    </xdr:from>
    <xdr:to>
      <xdr:col>2</xdr:col>
      <xdr:colOff>1953895</xdr:colOff>
      <xdr:row>15</xdr:row>
      <xdr:rowOff>884125</xdr:rowOff>
    </xdr:to>
    <xdr:pic>
      <xdr:nvPicPr>
        <xdr:cNvPr id="17" name="Hình ảnh 16">
          <a:extLst>
            <a:ext uri="{FF2B5EF4-FFF2-40B4-BE49-F238E27FC236}">
              <a16:creationId xmlns:a16="http://schemas.microsoft.com/office/drawing/2014/main" id="{A2F09A33-CB4D-4B52-858E-2D5066D3E910}"/>
            </a:ext>
          </a:extLst>
        </xdr:cNvPr>
        <xdr:cNvPicPr>
          <a:picLocks noChangeAspect="1"/>
        </xdr:cNvPicPr>
      </xdr:nvPicPr>
      <xdr:blipFill>
        <a:blip xmlns:r="http://schemas.openxmlformats.org/officeDocument/2006/relationships" r:embed="rId14"/>
        <a:stretch>
          <a:fillRect/>
        </a:stretch>
      </xdr:blipFill>
      <xdr:spPr>
        <a:xfrm>
          <a:off x="2613906" y="16009620"/>
          <a:ext cx="1930789" cy="1760425"/>
        </a:xfrm>
        <a:prstGeom prst="rect">
          <a:avLst/>
        </a:prstGeom>
      </xdr:spPr>
    </xdr:pic>
    <xdr:clientData/>
  </xdr:twoCellAnchor>
  <xdr:twoCellAnchor editAs="oneCell">
    <xdr:from>
      <xdr:col>2</xdr:col>
      <xdr:colOff>259081</xdr:colOff>
      <xdr:row>16</xdr:row>
      <xdr:rowOff>76200</xdr:rowOff>
    </xdr:from>
    <xdr:to>
      <xdr:col>2</xdr:col>
      <xdr:colOff>1699261</xdr:colOff>
      <xdr:row>16</xdr:row>
      <xdr:rowOff>1443281</xdr:rowOff>
    </xdr:to>
    <xdr:pic>
      <xdr:nvPicPr>
        <xdr:cNvPr id="18" name="Hình ảnh 17">
          <a:extLst>
            <a:ext uri="{FF2B5EF4-FFF2-40B4-BE49-F238E27FC236}">
              <a16:creationId xmlns:a16="http://schemas.microsoft.com/office/drawing/2014/main" id="{DF27DF7F-EFA2-4F85-97AD-5F792C2E2FB5}"/>
            </a:ext>
          </a:extLst>
        </xdr:cNvPr>
        <xdr:cNvPicPr>
          <a:picLocks noChangeAspect="1"/>
        </xdr:cNvPicPr>
      </xdr:nvPicPr>
      <xdr:blipFill>
        <a:blip xmlns:r="http://schemas.openxmlformats.org/officeDocument/2006/relationships" r:embed="rId15"/>
        <a:stretch>
          <a:fillRect/>
        </a:stretch>
      </xdr:blipFill>
      <xdr:spPr>
        <a:xfrm>
          <a:off x="2849881" y="17876520"/>
          <a:ext cx="1440180" cy="1367081"/>
        </a:xfrm>
        <a:prstGeom prst="rect">
          <a:avLst/>
        </a:prstGeom>
      </xdr:spPr>
    </xdr:pic>
    <xdr:clientData/>
  </xdr:twoCellAnchor>
  <xdr:twoCellAnchor editAs="oneCell">
    <xdr:from>
      <xdr:col>2</xdr:col>
      <xdr:colOff>274321</xdr:colOff>
      <xdr:row>17</xdr:row>
      <xdr:rowOff>15241</xdr:rowOff>
    </xdr:from>
    <xdr:to>
      <xdr:col>2</xdr:col>
      <xdr:colOff>1661161</xdr:colOff>
      <xdr:row>17</xdr:row>
      <xdr:rowOff>1428879</xdr:rowOff>
    </xdr:to>
    <xdr:pic>
      <xdr:nvPicPr>
        <xdr:cNvPr id="19" name="Hình ảnh 18">
          <a:extLst>
            <a:ext uri="{FF2B5EF4-FFF2-40B4-BE49-F238E27FC236}">
              <a16:creationId xmlns:a16="http://schemas.microsoft.com/office/drawing/2014/main" id="{63BB4C79-BB16-45FA-B7B1-0480A99B4388}"/>
            </a:ext>
          </a:extLst>
        </xdr:cNvPr>
        <xdr:cNvPicPr>
          <a:picLocks noChangeAspect="1"/>
        </xdr:cNvPicPr>
      </xdr:nvPicPr>
      <xdr:blipFill>
        <a:blip xmlns:r="http://schemas.openxmlformats.org/officeDocument/2006/relationships" r:embed="rId16"/>
        <a:stretch>
          <a:fillRect/>
        </a:stretch>
      </xdr:blipFill>
      <xdr:spPr>
        <a:xfrm>
          <a:off x="2865121" y="19301461"/>
          <a:ext cx="1386840" cy="141363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82ED-82B2-4286-8C18-D81F55D4DAE7}">
  <dimension ref="A1:S42"/>
  <sheetViews>
    <sheetView tabSelected="1" topLeftCell="C4" zoomScale="55" workbookViewId="0">
      <selection activeCell="I6" sqref="I6"/>
    </sheetView>
  </sheetViews>
  <sheetFormatPr defaultColWidth="9" defaultRowHeight="50.4" customHeight="1" x14ac:dyDescent="0.3"/>
  <cols>
    <col min="1" max="1" width="5.4140625" style="1" customWidth="1"/>
    <col min="2" max="2" width="32.33203125" style="1" customWidth="1"/>
    <col min="3" max="3" width="29.25" style="1" customWidth="1"/>
    <col min="4" max="4" width="9.58203125" style="1" customWidth="1"/>
    <col min="5" max="5" width="10" style="1" customWidth="1"/>
    <col min="6" max="6" width="13.83203125" style="1" customWidth="1"/>
    <col min="7" max="7" width="11.9140625" style="1" customWidth="1"/>
    <col min="8" max="8" width="15.6640625" style="1" customWidth="1"/>
    <col min="9" max="9" width="13.75" style="1" customWidth="1"/>
    <col min="10" max="10" width="11.75" style="1" customWidth="1"/>
    <col min="11" max="11" width="13" style="1" customWidth="1"/>
    <col min="12" max="12" width="19" style="1" customWidth="1"/>
    <col min="13" max="13" width="15.1640625" style="1" customWidth="1"/>
    <col min="14" max="14" width="14.33203125" style="1" customWidth="1"/>
    <col min="15" max="15" width="10.6640625" style="1" customWidth="1"/>
    <col min="16" max="16" width="20.58203125" style="1" customWidth="1"/>
    <col min="17" max="17" width="27.58203125" style="1" customWidth="1"/>
    <col min="18" max="18" width="20.83203125" style="1" customWidth="1"/>
    <col min="19" max="19" width="16.9140625" style="1" customWidth="1"/>
    <col min="20" max="16384" width="9" style="1"/>
  </cols>
  <sheetData>
    <row r="1" spans="1:19" ht="100.75" customHeight="1" x14ac:dyDescent="0.3">
      <c r="A1" s="52"/>
      <c r="B1" s="52"/>
      <c r="C1" s="53" t="s">
        <v>0</v>
      </c>
      <c r="D1" s="53"/>
      <c r="E1" s="53"/>
      <c r="F1" s="53"/>
      <c r="G1" s="53"/>
      <c r="H1" s="53"/>
    </row>
    <row r="2" spans="1:19" ht="17.399999999999999" customHeight="1" x14ac:dyDescent="0.3">
      <c r="A2" s="17"/>
      <c r="B2" s="17"/>
      <c r="C2" s="18"/>
      <c r="D2" s="18"/>
      <c r="E2" s="18"/>
      <c r="F2" s="19" t="s">
        <v>1</v>
      </c>
      <c r="G2" s="20"/>
      <c r="H2" s="20">
        <f ca="1">TODAY()</f>
        <v>45794</v>
      </c>
    </row>
    <row r="3" spans="1:19" ht="48" customHeight="1" x14ac:dyDescent="0.3">
      <c r="A3" s="54" t="s">
        <v>2</v>
      </c>
      <c r="B3" s="54"/>
      <c r="C3" s="54"/>
      <c r="D3" s="54"/>
      <c r="E3" s="54"/>
      <c r="F3" s="54"/>
      <c r="G3" s="54"/>
      <c r="H3" s="54"/>
    </row>
    <row r="4" spans="1:19" ht="70.5" customHeight="1" x14ac:dyDescent="0.3">
      <c r="A4" s="55" t="s">
        <v>68</v>
      </c>
      <c r="B4" s="56"/>
      <c r="C4" s="56"/>
      <c r="D4" s="56"/>
      <c r="E4" s="56"/>
      <c r="F4" s="56"/>
      <c r="G4" s="56"/>
      <c r="H4" s="56"/>
    </row>
    <row r="5" spans="1:19" ht="56.5" customHeight="1" x14ac:dyDescent="0.3">
      <c r="A5" s="15" t="s">
        <v>63</v>
      </c>
      <c r="B5" s="15" t="s">
        <v>64</v>
      </c>
      <c r="C5" s="15" t="s">
        <v>3</v>
      </c>
      <c r="D5" s="15" t="s">
        <v>4</v>
      </c>
      <c r="E5" s="15" t="s">
        <v>5</v>
      </c>
      <c r="F5" s="21" t="s">
        <v>6</v>
      </c>
      <c r="G5" s="21" t="s">
        <v>65</v>
      </c>
      <c r="H5" s="21" t="s">
        <v>66</v>
      </c>
      <c r="J5" s="42" t="s">
        <v>69</v>
      </c>
      <c r="K5" s="43" t="s">
        <v>71</v>
      </c>
      <c r="L5" s="44" t="s">
        <v>77</v>
      </c>
      <c r="M5" s="42" t="s">
        <v>70</v>
      </c>
      <c r="N5" s="27" t="s">
        <v>78</v>
      </c>
      <c r="O5" s="17"/>
      <c r="P5" s="38" t="s">
        <v>74</v>
      </c>
      <c r="Q5" s="38" t="s">
        <v>72</v>
      </c>
      <c r="R5" s="38" t="s">
        <v>75</v>
      </c>
      <c r="S5" s="39" t="s">
        <v>76</v>
      </c>
    </row>
    <row r="6" spans="1:19" ht="124.25" customHeight="1" x14ac:dyDescent="0.3">
      <c r="A6" s="16">
        <v>1</v>
      </c>
      <c r="B6" s="13" t="s">
        <v>7</v>
      </c>
      <c r="C6" s="8"/>
      <c r="D6" s="9" t="s">
        <v>8</v>
      </c>
      <c r="E6" s="9">
        <v>1</v>
      </c>
      <c r="F6" s="22">
        <v>60500</v>
      </c>
      <c r="G6" s="10">
        <f>F6*10%</f>
        <v>6050</v>
      </c>
      <c r="H6" s="10"/>
      <c r="I6" s="60">
        <f>J6/F6</f>
        <v>1.140495867768595</v>
      </c>
      <c r="J6" s="31">
        <v>69000</v>
      </c>
      <c r="K6" s="36">
        <v>0</v>
      </c>
      <c r="L6" s="32">
        <f>J6*K6</f>
        <v>0</v>
      </c>
      <c r="M6" s="32">
        <f>K6*F6</f>
        <v>0</v>
      </c>
      <c r="N6" s="25" t="e">
        <f>L6/M6</f>
        <v>#DIV/0!</v>
      </c>
      <c r="P6" s="40">
        <f>F6*1.07</f>
        <v>64735.000000000007</v>
      </c>
      <c r="Q6" s="45">
        <f>F6*1.05</f>
        <v>63525</v>
      </c>
      <c r="R6" s="40">
        <f>F6*1.06</f>
        <v>64130</v>
      </c>
      <c r="S6" s="40">
        <f>F6*1.07</f>
        <v>64735.000000000007</v>
      </c>
    </row>
    <row r="7" spans="1:19" ht="124.25" customHeight="1" x14ac:dyDescent="0.3">
      <c r="A7" s="16">
        <v>2</v>
      </c>
      <c r="B7" s="13" t="s">
        <v>9</v>
      </c>
      <c r="C7" s="8"/>
      <c r="D7" s="9" t="s">
        <v>8</v>
      </c>
      <c r="E7" s="9">
        <v>1</v>
      </c>
      <c r="F7" s="22">
        <v>59800</v>
      </c>
      <c r="G7" s="10">
        <f t="shared" ref="G7:G29" si="0">F7*10%</f>
        <v>5980</v>
      </c>
      <c r="H7" s="10"/>
      <c r="I7" s="60">
        <f>J7/F7</f>
        <v>1.1423076923076922</v>
      </c>
      <c r="J7" s="31">
        <v>68310</v>
      </c>
      <c r="K7" s="36">
        <v>0</v>
      </c>
      <c r="L7" s="32">
        <f t="shared" ref="L7:L29" si="1">J7*K7</f>
        <v>0</v>
      </c>
      <c r="M7" s="32">
        <f t="shared" ref="M7:M29" si="2">K7*F7</f>
        <v>0</v>
      </c>
      <c r="N7" s="25" t="e">
        <f t="shared" ref="N7:N29" si="3">L7/M7</f>
        <v>#DIV/0!</v>
      </c>
      <c r="P7" s="40">
        <f>F7*1.07</f>
        <v>63986.000000000007</v>
      </c>
      <c r="Q7" s="45">
        <f t="shared" ref="Q7:Q29" si="4">F7*1.05</f>
        <v>62790</v>
      </c>
      <c r="R7" s="40">
        <f t="shared" ref="R7:R29" si="5">F7*1.06</f>
        <v>63388</v>
      </c>
      <c r="S7" s="40">
        <f t="shared" ref="S7:S29" si="6">F7*1.07</f>
        <v>63986.000000000007</v>
      </c>
    </row>
    <row r="8" spans="1:19" ht="124.25" customHeight="1" x14ac:dyDescent="0.3">
      <c r="A8" s="16">
        <v>3</v>
      </c>
      <c r="B8" s="13" t="s">
        <v>10</v>
      </c>
      <c r="C8" s="8"/>
      <c r="D8" s="9" t="s">
        <v>8</v>
      </c>
      <c r="E8" s="9">
        <v>1</v>
      </c>
      <c r="F8" s="22">
        <v>58000</v>
      </c>
      <c r="G8" s="10">
        <f t="shared" si="0"/>
        <v>5800</v>
      </c>
      <c r="H8" s="10"/>
      <c r="I8" s="7"/>
      <c r="J8" s="31">
        <v>0</v>
      </c>
      <c r="K8" s="36">
        <v>0</v>
      </c>
      <c r="L8" s="32">
        <f t="shared" si="1"/>
        <v>0</v>
      </c>
      <c r="M8" s="32">
        <f t="shared" si="2"/>
        <v>0</v>
      </c>
      <c r="N8" s="25" t="e">
        <f t="shared" si="3"/>
        <v>#DIV/0!</v>
      </c>
      <c r="P8" s="40">
        <f t="shared" ref="P8:P29" si="7">F8*1.07</f>
        <v>62060</v>
      </c>
      <c r="Q8" s="45">
        <f t="shared" si="4"/>
        <v>60900</v>
      </c>
      <c r="R8" s="40">
        <f t="shared" si="5"/>
        <v>61480</v>
      </c>
      <c r="S8" s="40">
        <f t="shared" si="6"/>
        <v>62060</v>
      </c>
    </row>
    <row r="9" spans="1:19" ht="124.25" customHeight="1" x14ac:dyDescent="0.3">
      <c r="A9" s="16">
        <v>4</v>
      </c>
      <c r="B9" s="13" t="s">
        <v>11</v>
      </c>
      <c r="C9" s="8"/>
      <c r="D9" s="9" t="s">
        <v>8</v>
      </c>
      <c r="E9" s="9">
        <v>1</v>
      </c>
      <c r="F9" s="22">
        <v>52000</v>
      </c>
      <c r="G9" s="10">
        <f t="shared" si="0"/>
        <v>5200</v>
      </c>
      <c r="H9" s="10"/>
      <c r="I9" s="7"/>
      <c r="J9" s="31">
        <v>55880</v>
      </c>
      <c r="K9" s="36">
        <v>28770</v>
      </c>
      <c r="L9" s="32">
        <f t="shared" si="1"/>
        <v>1607667600</v>
      </c>
      <c r="M9" s="32">
        <f t="shared" si="2"/>
        <v>1496040000</v>
      </c>
      <c r="N9" s="25">
        <f t="shared" si="3"/>
        <v>1.0746153846153845</v>
      </c>
      <c r="O9" s="26"/>
      <c r="P9" s="40">
        <f>F9*1.07</f>
        <v>55640</v>
      </c>
      <c r="Q9" s="45">
        <f t="shared" si="4"/>
        <v>54600</v>
      </c>
      <c r="R9" s="40">
        <f t="shared" si="5"/>
        <v>55120</v>
      </c>
      <c r="S9" s="40">
        <f t="shared" si="6"/>
        <v>55640</v>
      </c>
    </row>
    <row r="10" spans="1:19" ht="109.25" customHeight="1" x14ac:dyDescent="0.3">
      <c r="A10" s="16">
        <v>5</v>
      </c>
      <c r="B10" s="13" t="s">
        <v>12</v>
      </c>
      <c r="C10" s="11"/>
      <c r="D10" s="9" t="s">
        <v>13</v>
      </c>
      <c r="E10" s="9">
        <v>1</v>
      </c>
      <c r="F10" s="22">
        <v>21000</v>
      </c>
      <c r="G10" s="10">
        <f t="shared" si="0"/>
        <v>2100</v>
      </c>
      <c r="H10" s="10"/>
      <c r="I10" s="7"/>
      <c r="J10" s="31">
        <v>0</v>
      </c>
      <c r="K10" s="36">
        <v>0</v>
      </c>
      <c r="L10" s="32">
        <f t="shared" si="1"/>
        <v>0</v>
      </c>
      <c r="M10" s="32">
        <f t="shared" si="2"/>
        <v>0</v>
      </c>
      <c r="N10" s="25" t="e">
        <f t="shared" si="3"/>
        <v>#DIV/0!</v>
      </c>
      <c r="P10" s="40">
        <f t="shared" si="7"/>
        <v>22470</v>
      </c>
      <c r="Q10" s="45">
        <f t="shared" si="4"/>
        <v>22050</v>
      </c>
      <c r="R10" s="40">
        <f t="shared" si="5"/>
        <v>22260</v>
      </c>
      <c r="S10" s="40">
        <f t="shared" si="6"/>
        <v>22470</v>
      </c>
    </row>
    <row r="11" spans="1:19" ht="72" customHeight="1" x14ac:dyDescent="0.3">
      <c r="A11" s="57">
        <v>6</v>
      </c>
      <c r="B11" s="13" t="s">
        <v>14</v>
      </c>
      <c r="C11" s="51"/>
      <c r="D11" s="58" t="s">
        <v>13</v>
      </c>
      <c r="E11" s="9">
        <v>1</v>
      </c>
      <c r="F11" s="22">
        <v>16000</v>
      </c>
      <c r="G11" s="10">
        <f t="shared" si="0"/>
        <v>1600</v>
      </c>
      <c r="H11" s="10"/>
      <c r="I11" s="7"/>
      <c r="J11" s="31">
        <v>0</v>
      </c>
      <c r="K11" s="36">
        <v>0</v>
      </c>
      <c r="L11" s="32">
        <f t="shared" si="1"/>
        <v>0</v>
      </c>
      <c r="M11" s="32">
        <f t="shared" si="2"/>
        <v>0</v>
      </c>
      <c r="N11" s="25" t="e">
        <f t="shared" si="3"/>
        <v>#DIV/0!</v>
      </c>
      <c r="P11" s="40">
        <f t="shared" si="7"/>
        <v>17120</v>
      </c>
      <c r="Q11" s="45">
        <f t="shared" si="4"/>
        <v>16800</v>
      </c>
      <c r="R11" s="40">
        <f t="shared" si="5"/>
        <v>16960</v>
      </c>
      <c r="S11" s="40">
        <f t="shared" si="6"/>
        <v>17120</v>
      </c>
    </row>
    <row r="12" spans="1:19" ht="72" customHeight="1" x14ac:dyDescent="0.3">
      <c r="A12" s="57"/>
      <c r="B12" s="13" t="s">
        <v>15</v>
      </c>
      <c r="C12" s="51"/>
      <c r="D12" s="58"/>
      <c r="E12" s="9">
        <v>1</v>
      </c>
      <c r="F12" s="22">
        <v>13500</v>
      </c>
      <c r="G12" s="10">
        <f t="shared" si="0"/>
        <v>1350</v>
      </c>
      <c r="H12" s="10"/>
      <c r="I12" s="7"/>
      <c r="J12" s="31">
        <v>0</v>
      </c>
      <c r="K12" s="36">
        <v>0</v>
      </c>
      <c r="L12" s="32">
        <f t="shared" si="1"/>
        <v>0</v>
      </c>
      <c r="M12" s="32">
        <f t="shared" si="2"/>
        <v>0</v>
      </c>
      <c r="N12" s="25" t="e">
        <f t="shared" si="3"/>
        <v>#DIV/0!</v>
      </c>
      <c r="P12" s="40">
        <f t="shared" si="7"/>
        <v>14445</v>
      </c>
      <c r="Q12" s="45">
        <f t="shared" si="4"/>
        <v>14175</v>
      </c>
      <c r="R12" s="40">
        <f t="shared" si="5"/>
        <v>14310</v>
      </c>
      <c r="S12" s="40">
        <f t="shared" si="6"/>
        <v>14445</v>
      </c>
    </row>
    <row r="13" spans="1:19" ht="93.65" customHeight="1" x14ac:dyDescent="0.3">
      <c r="A13" s="16">
        <v>7</v>
      </c>
      <c r="B13" s="13" t="s">
        <v>16</v>
      </c>
      <c r="C13" s="8"/>
      <c r="D13" s="9" t="s">
        <v>17</v>
      </c>
      <c r="E13" s="9">
        <v>1</v>
      </c>
      <c r="F13" s="22">
        <v>9800</v>
      </c>
      <c r="G13" s="10">
        <f t="shared" si="0"/>
        <v>980</v>
      </c>
      <c r="H13" s="10"/>
      <c r="I13" s="7"/>
      <c r="J13" s="31">
        <v>9856</v>
      </c>
      <c r="K13" s="36">
        <v>6443</v>
      </c>
      <c r="L13" s="32">
        <f>J13*K13</f>
        <v>63502208</v>
      </c>
      <c r="M13" s="32">
        <f>K13*F13</f>
        <v>63141400</v>
      </c>
      <c r="N13" s="25">
        <f t="shared" si="3"/>
        <v>1.0057142857142858</v>
      </c>
      <c r="P13" s="40">
        <f t="shared" si="7"/>
        <v>10486</v>
      </c>
      <c r="Q13" s="45">
        <f t="shared" si="4"/>
        <v>10290</v>
      </c>
      <c r="R13" s="40">
        <f t="shared" si="5"/>
        <v>10388</v>
      </c>
      <c r="S13" s="40">
        <f t="shared" si="6"/>
        <v>10486</v>
      </c>
    </row>
    <row r="14" spans="1:19" ht="134.4" customHeight="1" x14ac:dyDescent="0.3">
      <c r="A14" s="16">
        <v>8</v>
      </c>
      <c r="B14" s="13" t="s">
        <v>18</v>
      </c>
      <c r="C14" s="8"/>
      <c r="D14" s="9" t="s">
        <v>17</v>
      </c>
      <c r="E14" s="9">
        <v>1</v>
      </c>
      <c r="F14" s="22">
        <v>6200</v>
      </c>
      <c r="G14" s="10">
        <f t="shared" si="0"/>
        <v>620</v>
      </c>
      <c r="H14" s="10"/>
      <c r="I14" s="7"/>
      <c r="J14" s="31">
        <v>8800</v>
      </c>
      <c r="K14" s="36">
        <v>8800</v>
      </c>
      <c r="L14" s="32">
        <f>J14*K14</f>
        <v>77440000</v>
      </c>
      <c r="M14" s="32">
        <f t="shared" si="2"/>
        <v>54560000</v>
      </c>
      <c r="N14" s="25">
        <f t="shared" si="3"/>
        <v>1.4193548387096775</v>
      </c>
      <c r="P14" s="40">
        <f t="shared" si="7"/>
        <v>6634</v>
      </c>
      <c r="Q14" s="45">
        <f t="shared" si="4"/>
        <v>6510</v>
      </c>
      <c r="R14" s="40">
        <f t="shared" si="5"/>
        <v>6572</v>
      </c>
      <c r="S14" s="40">
        <f t="shared" si="6"/>
        <v>6634</v>
      </c>
    </row>
    <row r="15" spans="1:19" ht="72" customHeight="1" x14ac:dyDescent="0.3">
      <c r="A15" s="16">
        <v>9</v>
      </c>
      <c r="B15" s="13" t="s">
        <v>19</v>
      </c>
      <c r="C15" s="51"/>
      <c r="D15" s="58" t="s">
        <v>17</v>
      </c>
      <c r="E15" s="9">
        <v>1</v>
      </c>
      <c r="F15" s="22">
        <v>14000</v>
      </c>
      <c r="G15" s="10">
        <f t="shared" si="0"/>
        <v>1400</v>
      </c>
      <c r="H15" s="10"/>
      <c r="I15" s="33"/>
      <c r="J15" s="33">
        <v>16104</v>
      </c>
      <c r="K15" s="37">
        <v>31357</v>
      </c>
      <c r="L15" s="32">
        <f>J15*K15</f>
        <v>504973128</v>
      </c>
      <c r="M15" s="32">
        <f t="shared" si="2"/>
        <v>438998000</v>
      </c>
      <c r="N15" s="25">
        <f t="shared" si="3"/>
        <v>1.1502857142857144</v>
      </c>
      <c r="P15" s="40">
        <f t="shared" si="7"/>
        <v>14980</v>
      </c>
      <c r="Q15" s="45">
        <f t="shared" si="4"/>
        <v>14700</v>
      </c>
      <c r="R15" s="40">
        <f t="shared" si="5"/>
        <v>14840</v>
      </c>
      <c r="S15" s="40">
        <f t="shared" si="6"/>
        <v>14980</v>
      </c>
    </row>
    <row r="16" spans="1:19" ht="72" customHeight="1" x14ac:dyDescent="0.3">
      <c r="A16" s="16">
        <v>10</v>
      </c>
      <c r="B16" s="13" t="s">
        <v>20</v>
      </c>
      <c r="C16" s="51"/>
      <c r="D16" s="58"/>
      <c r="E16" s="9">
        <v>1</v>
      </c>
      <c r="F16" s="22">
        <v>23000</v>
      </c>
      <c r="G16" s="10">
        <f t="shared" si="0"/>
        <v>2300</v>
      </c>
      <c r="H16" s="10"/>
      <c r="I16" s="7"/>
      <c r="J16" s="31">
        <v>0</v>
      </c>
      <c r="K16" s="36">
        <v>0</v>
      </c>
      <c r="L16" s="32">
        <f t="shared" si="1"/>
        <v>0</v>
      </c>
      <c r="M16" s="32">
        <f t="shared" si="2"/>
        <v>0</v>
      </c>
      <c r="N16" s="25" t="e">
        <f t="shared" si="3"/>
        <v>#DIV/0!</v>
      </c>
      <c r="P16" s="40">
        <f t="shared" si="7"/>
        <v>24610</v>
      </c>
      <c r="Q16" s="45">
        <f t="shared" si="4"/>
        <v>24150</v>
      </c>
      <c r="R16" s="40">
        <f t="shared" si="5"/>
        <v>24380</v>
      </c>
      <c r="S16" s="40">
        <f t="shared" si="6"/>
        <v>24610</v>
      </c>
    </row>
    <row r="17" spans="1:19" ht="117" customHeight="1" x14ac:dyDescent="0.3">
      <c r="A17" s="16">
        <v>11</v>
      </c>
      <c r="B17" s="13" t="s">
        <v>21</v>
      </c>
      <c r="C17" s="8"/>
      <c r="D17" s="9" t="s">
        <v>17</v>
      </c>
      <c r="E17" s="9">
        <v>1</v>
      </c>
      <c r="F17" s="23">
        <v>6200</v>
      </c>
      <c r="G17" s="10">
        <f t="shared" si="0"/>
        <v>620</v>
      </c>
      <c r="H17" s="10"/>
      <c r="I17" s="7"/>
      <c r="J17" s="31">
        <v>9240</v>
      </c>
      <c r="K17" s="36">
        <v>2220</v>
      </c>
      <c r="L17" s="32">
        <f t="shared" si="1"/>
        <v>20512800</v>
      </c>
      <c r="M17" s="32">
        <f t="shared" si="2"/>
        <v>13764000</v>
      </c>
      <c r="N17" s="25">
        <f t="shared" si="3"/>
        <v>1.4903225806451612</v>
      </c>
      <c r="P17" s="40">
        <f>F17*1.07</f>
        <v>6634</v>
      </c>
      <c r="Q17" s="45">
        <f t="shared" si="4"/>
        <v>6510</v>
      </c>
      <c r="R17" s="40">
        <f t="shared" si="5"/>
        <v>6572</v>
      </c>
      <c r="S17" s="40">
        <f t="shared" si="6"/>
        <v>6634</v>
      </c>
    </row>
    <row r="18" spans="1:19" ht="120" customHeight="1" x14ac:dyDescent="0.3">
      <c r="A18" s="16">
        <v>12</v>
      </c>
      <c r="B18" s="13" t="s">
        <v>22</v>
      </c>
      <c r="C18" s="8"/>
      <c r="D18" s="9" t="s">
        <v>17</v>
      </c>
      <c r="E18" s="9">
        <v>1</v>
      </c>
      <c r="F18" s="22">
        <v>18000</v>
      </c>
      <c r="G18" s="10">
        <f t="shared" si="0"/>
        <v>1800</v>
      </c>
      <c r="H18" s="10"/>
      <c r="I18" s="7"/>
      <c r="J18" s="31">
        <v>0</v>
      </c>
      <c r="K18" s="36">
        <v>0</v>
      </c>
      <c r="L18" s="32">
        <f t="shared" si="1"/>
        <v>0</v>
      </c>
      <c r="M18" s="32">
        <f t="shared" si="2"/>
        <v>0</v>
      </c>
      <c r="N18" s="25" t="e">
        <f t="shared" si="3"/>
        <v>#DIV/0!</v>
      </c>
      <c r="P18" s="40">
        <f t="shared" si="7"/>
        <v>19260</v>
      </c>
      <c r="Q18" s="45">
        <f t="shared" si="4"/>
        <v>18900</v>
      </c>
      <c r="R18" s="40">
        <f t="shared" si="5"/>
        <v>19080</v>
      </c>
      <c r="S18" s="40">
        <f t="shared" si="6"/>
        <v>19260</v>
      </c>
    </row>
    <row r="19" spans="1:19" ht="102.65" customHeight="1" x14ac:dyDescent="0.3">
      <c r="A19" s="16">
        <v>13</v>
      </c>
      <c r="B19" s="13" t="s">
        <v>23</v>
      </c>
      <c r="C19" s="8"/>
      <c r="D19" s="9" t="s">
        <v>17</v>
      </c>
      <c r="E19" s="9">
        <v>1</v>
      </c>
      <c r="F19" s="22">
        <v>17500</v>
      </c>
      <c r="G19" s="10">
        <f t="shared" si="0"/>
        <v>1750</v>
      </c>
      <c r="H19" s="10"/>
      <c r="I19" s="31"/>
      <c r="J19" s="31">
        <v>20064</v>
      </c>
      <c r="K19" s="37">
        <v>31357</v>
      </c>
      <c r="L19" s="32">
        <f>J19*K19</f>
        <v>629146848</v>
      </c>
      <c r="M19" s="32">
        <f t="shared" si="2"/>
        <v>548747500</v>
      </c>
      <c r="N19" s="25">
        <f t="shared" si="3"/>
        <v>1.1465142857142858</v>
      </c>
      <c r="P19" s="40">
        <f t="shared" si="7"/>
        <v>18725</v>
      </c>
      <c r="Q19" s="45">
        <f t="shared" si="4"/>
        <v>18375</v>
      </c>
      <c r="R19" s="40">
        <f t="shared" si="5"/>
        <v>18550</v>
      </c>
      <c r="S19" s="40">
        <f t="shared" si="6"/>
        <v>18725</v>
      </c>
    </row>
    <row r="20" spans="1:19" ht="85.75" customHeight="1" x14ac:dyDescent="0.3">
      <c r="A20" s="16">
        <v>14</v>
      </c>
      <c r="B20" s="13" t="s">
        <v>24</v>
      </c>
      <c r="C20" s="8"/>
      <c r="D20" s="9" t="s">
        <v>17</v>
      </c>
      <c r="E20" s="9">
        <v>1</v>
      </c>
      <c r="F20" s="22">
        <v>13000</v>
      </c>
      <c r="G20" s="10">
        <f t="shared" si="0"/>
        <v>1300</v>
      </c>
      <c r="H20" s="10"/>
      <c r="I20" s="7"/>
      <c r="J20" s="31">
        <v>0</v>
      </c>
      <c r="K20" s="36">
        <v>0</v>
      </c>
      <c r="L20" s="32">
        <f t="shared" si="1"/>
        <v>0</v>
      </c>
      <c r="M20" s="32">
        <f t="shared" si="2"/>
        <v>0</v>
      </c>
      <c r="N20" s="25" t="e">
        <f t="shared" si="3"/>
        <v>#DIV/0!</v>
      </c>
      <c r="P20" s="40">
        <f t="shared" si="7"/>
        <v>13910</v>
      </c>
      <c r="Q20" s="45">
        <f t="shared" si="4"/>
        <v>13650</v>
      </c>
      <c r="R20" s="40">
        <f t="shared" si="5"/>
        <v>13780</v>
      </c>
      <c r="S20" s="40">
        <f t="shared" si="6"/>
        <v>13910</v>
      </c>
    </row>
    <row r="21" spans="1:19" ht="88.25" customHeight="1" x14ac:dyDescent="0.3">
      <c r="A21" s="16">
        <v>15</v>
      </c>
      <c r="B21" s="13" t="s">
        <v>25</v>
      </c>
      <c r="C21" s="12"/>
      <c r="D21" s="9" t="s">
        <v>17</v>
      </c>
      <c r="E21" s="9">
        <v>1</v>
      </c>
      <c r="F21" s="22">
        <v>9500</v>
      </c>
      <c r="G21" s="10">
        <f t="shared" si="0"/>
        <v>950</v>
      </c>
      <c r="H21" s="10"/>
      <c r="I21" s="7"/>
      <c r="J21" s="31">
        <v>11440</v>
      </c>
      <c r="K21" s="36">
        <v>1162</v>
      </c>
      <c r="L21" s="32">
        <f t="shared" si="1"/>
        <v>13293280</v>
      </c>
      <c r="M21" s="32">
        <f t="shared" si="2"/>
        <v>11039000</v>
      </c>
      <c r="N21" s="25">
        <f t="shared" si="3"/>
        <v>1.2042105263157894</v>
      </c>
      <c r="P21" s="40">
        <f t="shared" si="7"/>
        <v>10165</v>
      </c>
      <c r="Q21" s="45">
        <f t="shared" si="4"/>
        <v>9975</v>
      </c>
      <c r="R21" s="40">
        <f t="shared" si="5"/>
        <v>10070</v>
      </c>
      <c r="S21" s="40">
        <f t="shared" si="6"/>
        <v>10165</v>
      </c>
    </row>
    <row r="22" spans="1:19" ht="72" customHeight="1" x14ac:dyDescent="0.3">
      <c r="A22" s="50">
        <v>16</v>
      </c>
      <c r="B22" s="13" t="s">
        <v>26</v>
      </c>
      <c r="C22" s="59" t="e" vm="1">
        <v>#VALUE!</v>
      </c>
      <c r="D22" s="58" t="s">
        <v>13</v>
      </c>
      <c r="E22" s="9">
        <v>1</v>
      </c>
      <c r="F22" s="22">
        <v>16500</v>
      </c>
      <c r="G22" s="10">
        <f t="shared" si="0"/>
        <v>1650</v>
      </c>
      <c r="H22" s="10"/>
      <c r="I22" s="7"/>
      <c r="J22" s="31">
        <v>0</v>
      </c>
      <c r="K22" s="36">
        <v>0</v>
      </c>
      <c r="L22" s="32">
        <f t="shared" si="1"/>
        <v>0</v>
      </c>
      <c r="M22" s="32">
        <f t="shared" si="2"/>
        <v>0</v>
      </c>
      <c r="N22" s="25" t="e">
        <f t="shared" si="3"/>
        <v>#DIV/0!</v>
      </c>
      <c r="P22" s="40">
        <f t="shared" si="7"/>
        <v>17655</v>
      </c>
      <c r="Q22" s="45">
        <f t="shared" si="4"/>
        <v>17325</v>
      </c>
      <c r="R22" s="40">
        <f t="shared" si="5"/>
        <v>17490</v>
      </c>
      <c r="S22" s="40">
        <f t="shared" si="6"/>
        <v>17655</v>
      </c>
    </row>
    <row r="23" spans="1:19" ht="72" customHeight="1" x14ac:dyDescent="0.3">
      <c r="A23" s="50"/>
      <c r="B23" s="13" t="s">
        <v>27</v>
      </c>
      <c r="C23" s="59"/>
      <c r="D23" s="58"/>
      <c r="E23" s="9">
        <v>1</v>
      </c>
      <c r="F23" s="22">
        <v>22500</v>
      </c>
      <c r="G23" s="10">
        <f t="shared" si="0"/>
        <v>2250</v>
      </c>
      <c r="H23" s="10"/>
      <c r="I23" s="7"/>
      <c r="J23" s="31">
        <v>0</v>
      </c>
      <c r="K23" s="36">
        <v>0</v>
      </c>
      <c r="L23" s="32">
        <f t="shared" si="1"/>
        <v>0</v>
      </c>
      <c r="M23" s="32">
        <f t="shared" si="2"/>
        <v>0</v>
      </c>
      <c r="N23" s="25" t="e">
        <f t="shared" si="3"/>
        <v>#DIV/0!</v>
      </c>
      <c r="P23" s="40">
        <f t="shared" si="7"/>
        <v>24075</v>
      </c>
      <c r="Q23" s="45">
        <f t="shared" si="4"/>
        <v>23625</v>
      </c>
      <c r="R23" s="40">
        <f t="shared" si="5"/>
        <v>23850</v>
      </c>
      <c r="S23" s="40">
        <f t="shared" si="6"/>
        <v>24075</v>
      </c>
    </row>
    <row r="24" spans="1:19" ht="72" customHeight="1" x14ac:dyDescent="0.3">
      <c r="A24" s="16">
        <v>17</v>
      </c>
      <c r="B24" s="14" t="s">
        <v>28</v>
      </c>
      <c r="C24" s="8"/>
      <c r="D24" s="9" t="s">
        <v>13</v>
      </c>
      <c r="E24" s="9">
        <v>1</v>
      </c>
      <c r="F24" s="22">
        <v>1000</v>
      </c>
      <c r="G24" s="10">
        <f t="shared" si="0"/>
        <v>100</v>
      </c>
      <c r="H24" s="10"/>
      <c r="I24" s="7"/>
      <c r="J24" s="31">
        <v>1408</v>
      </c>
      <c r="K24" s="36">
        <v>22680</v>
      </c>
      <c r="L24" s="32">
        <f>J24*K24</f>
        <v>31933440</v>
      </c>
      <c r="M24" s="32">
        <f t="shared" si="2"/>
        <v>22680000</v>
      </c>
      <c r="N24" s="25">
        <f t="shared" si="3"/>
        <v>1.4079999999999999</v>
      </c>
      <c r="P24" s="40">
        <f t="shared" si="7"/>
        <v>1070</v>
      </c>
      <c r="Q24" s="45">
        <f t="shared" si="4"/>
        <v>1050</v>
      </c>
      <c r="R24" s="40">
        <f t="shared" si="5"/>
        <v>1060</v>
      </c>
      <c r="S24" s="40">
        <f t="shared" si="6"/>
        <v>1070</v>
      </c>
    </row>
    <row r="25" spans="1:19" ht="111" customHeight="1" x14ac:dyDescent="0.3">
      <c r="A25" s="16">
        <v>18</v>
      </c>
      <c r="B25" s="14" t="s">
        <v>29</v>
      </c>
      <c r="C25" s="8"/>
      <c r="D25" s="9" t="s">
        <v>13</v>
      </c>
      <c r="E25" s="9">
        <v>1</v>
      </c>
      <c r="F25" s="22">
        <v>1000</v>
      </c>
      <c r="G25" s="10">
        <f t="shared" si="0"/>
        <v>100</v>
      </c>
      <c r="H25" s="10"/>
      <c r="I25" s="7"/>
      <c r="J25" s="31">
        <v>1408</v>
      </c>
      <c r="K25" s="36">
        <v>22680</v>
      </c>
      <c r="L25" s="32">
        <f>J25*K25</f>
        <v>31933440</v>
      </c>
      <c r="M25" s="32">
        <f>K25*F25</f>
        <v>22680000</v>
      </c>
      <c r="N25" s="25">
        <f t="shared" si="3"/>
        <v>1.4079999999999999</v>
      </c>
      <c r="P25" s="40">
        <f t="shared" si="7"/>
        <v>1070</v>
      </c>
      <c r="Q25" s="45">
        <f t="shared" si="4"/>
        <v>1050</v>
      </c>
      <c r="R25" s="40">
        <f t="shared" si="5"/>
        <v>1060</v>
      </c>
      <c r="S25" s="40">
        <f t="shared" si="6"/>
        <v>1070</v>
      </c>
    </row>
    <row r="26" spans="1:19" ht="36" customHeight="1" x14ac:dyDescent="0.3">
      <c r="A26" s="50">
        <v>19</v>
      </c>
      <c r="B26" s="14" t="s">
        <v>30</v>
      </c>
      <c r="C26" s="51"/>
      <c r="D26" s="9" t="s">
        <v>13</v>
      </c>
      <c r="E26" s="9">
        <v>1</v>
      </c>
      <c r="F26" s="22">
        <v>1100</v>
      </c>
      <c r="G26" s="10">
        <f t="shared" si="0"/>
        <v>110</v>
      </c>
      <c r="H26" s="10"/>
      <c r="I26" s="7"/>
      <c r="J26" s="31">
        <v>0</v>
      </c>
      <c r="K26" s="36">
        <v>0</v>
      </c>
      <c r="L26" s="32">
        <f t="shared" si="1"/>
        <v>0</v>
      </c>
      <c r="M26" s="32">
        <f t="shared" si="2"/>
        <v>0</v>
      </c>
      <c r="N26" s="25" t="e">
        <f t="shared" si="3"/>
        <v>#DIV/0!</v>
      </c>
      <c r="P26" s="40">
        <f t="shared" si="7"/>
        <v>1177</v>
      </c>
      <c r="Q26" s="45">
        <f t="shared" si="4"/>
        <v>1155</v>
      </c>
      <c r="R26" s="40">
        <f t="shared" si="5"/>
        <v>1166</v>
      </c>
      <c r="S26" s="40">
        <f t="shared" si="6"/>
        <v>1177</v>
      </c>
    </row>
    <row r="27" spans="1:19" ht="36" customHeight="1" x14ac:dyDescent="0.3">
      <c r="A27" s="50"/>
      <c r="B27" s="14" t="s">
        <v>31</v>
      </c>
      <c r="C27" s="51"/>
      <c r="D27" s="9" t="s">
        <v>13</v>
      </c>
      <c r="E27" s="9">
        <v>1</v>
      </c>
      <c r="F27" s="22">
        <v>1200</v>
      </c>
      <c r="G27" s="10">
        <f t="shared" si="0"/>
        <v>120</v>
      </c>
      <c r="H27" s="10"/>
      <c r="I27" s="7"/>
      <c r="J27" s="31">
        <v>0</v>
      </c>
      <c r="K27" s="36">
        <v>0</v>
      </c>
      <c r="L27" s="32">
        <f t="shared" si="1"/>
        <v>0</v>
      </c>
      <c r="M27" s="32">
        <f t="shared" si="2"/>
        <v>0</v>
      </c>
      <c r="N27" s="25" t="e">
        <f t="shared" si="3"/>
        <v>#DIV/0!</v>
      </c>
      <c r="P27" s="40">
        <f t="shared" si="7"/>
        <v>1284</v>
      </c>
      <c r="Q27" s="45">
        <f t="shared" si="4"/>
        <v>1260</v>
      </c>
      <c r="R27" s="40">
        <f t="shared" si="5"/>
        <v>1272</v>
      </c>
      <c r="S27" s="40">
        <f t="shared" si="6"/>
        <v>1284</v>
      </c>
    </row>
    <row r="28" spans="1:19" ht="36" customHeight="1" x14ac:dyDescent="0.3">
      <c r="A28" s="50"/>
      <c r="B28" s="14" t="s">
        <v>32</v>
      </c>
      <c r="C28" s="51"/>
      <c r="D28" s="9" t="s">
        <v>13</v>
      </c>
      <c r="E28" s="9">
        <v>1</v>
      </c>
      <c r="F28" s="22">
        <v>1500</v>
      </c>
      <c r="G28" s="10">
        <f t="shared" si="0"/>
        <v>150</v>
      </c>
      <c r="H28" s="10"/>
      <c r="I28" s="7"/>
      <c r="J28" s="31">
        <v>0</v>
      </c>
      <c r="K28" s="36">
        <v>0</v>
      </c>
      <c r="L28" s="32">
        <f t="shared" si="1"/>
        <v>0</v>
      </c>
      <c r="M28" s="32">
        <f t="shared" si="2"/>
        <v>0</v>
      </c>
      <c r="N28" s="25" t="e">
        <f t="shared" si="3"/>
        <v>#DIV/0!</v>
      </c>
      <c r="P28" s="40">
        <f t="shared" si="7"/>
        <v>1605</v>
      </c>
      <c r="Q28" s="45">
        <f t="shared" si="4"/>
        <v>1575</v>
      </c>
      <c r="R28" s="40">
        <f t="shared" si="5"/>
        <v>1590</v>
      </c>
      <c r="S28" s="40">
        <f t="shared" si="6"/>
        <v>1605</v>
      </c>
    </row>
    <row r="29" spans="1:19" ht="36" customHeight="1" x14ac:dyDescent="0.3">
      <c r="A29" s="50"/>
      <c r="B29" s="14" t="s">
        <v>33</v>
      </c>
      <c r="C29" s="51"/>
      <c r="D29" s="9" t="s">
        <v>13</v>
      </c>
      <c r="E29" s="9">
        <v>1</v>
      </c>
      <c r="F29" s="22">
        <v>1700</v>
      </c>
      <c r="G29" s="10">
        <f t="shared" si="0"/>
        <v>170</v>
      </c>
      <c r="H29" s="10"/>
      <c r="I29" s="7"/>
      <c r="J29" s="31">
        <v>0</v>
      </c>
      <c r="K29" s="36">
        <v>0</v>
      </c>
      <c r="L29" s="32">
        <f t="shared" si="1"/>
        <v>0</v>
      </c>
      <c r="M29" s="32">
        <f t="shared" si="2"/>
        <v>0</v>
      </c>
      <c r="N29" s="25" t="e">
        <f t="shared" si="3"/>
        <v>#DIV/0!</v>
      </c>
      <c r="P29" s="40">
        <f t="shared" si="7"/>
        <v>1819</v>
      </c>
      <c r="Q29" s="45">
        <f t="shared" si="4"/>
        <v>1785</v>
      </c>
      <c r="R29" s="40">
        <f t="shared" si="5"/>
        <v>1802</v>
      </c>
      <c r="S29" s="40">
        <f t="shared" si="6"/>
        <v>1819</v>
      </c>
    </row>
    <row r="30" spans="1:19" ht="27" customHeight="1" x14ac:dyDescent="0.3">
      <c r="A30" s="28"/>
      <c r="B30" s="29" t="s">
        <v>73</v>
      </c>
      <c r="C30" s="28"/>
      <c r="D30" s="28"/>
      <c r="E30" s="28"/>
      <c r="F30" s="28"/>
      <c r="G30" s="28"/>
      <c r="H30" s="28"/>
      <c r="I30" s="28"/>
      <c r="J30" s="34"/>
      <c r="K30" s="34"/>
      <c r="L30" s="35">
        <f>SUM(L6:L29)</f>
        <v>2980402744</v>
      </c>
      <c r="M30" s="35">
        <f>SUM(M6:M29)</f>
        <v>2671649900</v>
      </c>
      <c r="N30" s="33"/>
      <c r="P30" s="41"/>
      <c r="Q30" s="41"/>
      <c r="R30" s="41"/>
      <c r="S30" s="41"/>
    </row>
    <row r="31" spans="1:19" ht="33.65" customHeight="1" x14ac:dyDescent="0.3">
      <c r="A31" s="2" t="s">
        <v>34</v>
      </c>
      <c r="B31" s="47" t="s">
        <v>35</v>
      </c>
      <c r="C31" s="47"/>
      <c r="D31" s="47"/>
      <c r="E31" s="47"/>
      <c r="F31" s="47"/>
      <c r="G31" s="47"/>
      <c r="H31" s="47"/>
      <c r="M31" s="30">
        <f>L30/M30</f>
        <v>1.1155663562055791</v>
      </c>
    </row>
    <row r="32" spans="1:19" ht="32.4" customHeight="1" x14ac:dyDescent="0.3">
      <c r="A32" s="3" t="s">
        <v>36</v>
      </c>
      <c r="B32" s="4" t="s">
        <v>37</v>
      </c>
      <c r="C32" s="48" t="s">
        <v>67</v>
      </c>
      <c r="D32" s="48"/>
      <c r="E32" s="48"/>
      <c r="F32" s="48"/>
      <c r="G32" s="48"/>
      <c r="H32" s="48"/>
    </row>
    <row r="33" spans="1:8" ht="32.4" customHeight="1" x14ac:dyDescent="0.3">
      <c r="A33" s="3" t="s">
        <v>38</v>
      </c>
      <c r="B33" s="4" t="s">
        <v>39</v>
      </c>
      <c r="C33" s="48" t="s">
        <v>40</v>
      </c>
      <c r="D33" s="48"/>
      <c r="E33" s="48"/>
      <c r="F33" s="48"/>
      <c r="G33" s="48"/>
      <c r="H33" s="48"/>
    </row>
    <row r="34" spans="1:8" ht="32.4" customHeight="1" x14ac:dyDescent="0.3">
      <c r="A34" s="3" t="s">
        <v>41</v>
      </c>
      <c r="B34" s="4" t="s">
        <v>42</v>
      </c>
      <c r="C34" s="48" t="s">
        <v>40</v>
      </c>
      <c r="D34" s="48"/>
      <c r="E34" s="48"/>
      <c r="F34" s="48"/>
      <c r="G34" s="48"/>
      <c r="H34" s="48"/>
    </row>
    <row r="35" spans="1:8" ht="32.4" customHeight="1" x14ac:dyDescent="0.3">
      <c r="A35" s="3">
        <v>4</v>
      </c>
      <c r="B35" s="4" t="s">
        <v>43</v>
      </c>
      <c r="C35" s="48" t="s">
        <v>44</v>
      </c>
      <c r="D35" s="48"/>
      <c r="E35" s="48"/>
      <c r="F35" s="48"/>
      <c r="G35" s="48"/>
      <c r="H35" s="48"/>
    </row>
    <row r="36" spans="1:8" ht="32.4" customHeight="1" x14ac:dyDescent="0.3">
      <c r="A36" s="3" t="s">
        <v>45</v>
      </c>
      <c r="B36" s="4" t="s">
        <v>46</v>
      </c>
      <c r="C36" s="48" t="s">
        <v>47</v>
      </c>
      <c r="D36" s="48"/>
      <c r="E36" s="48"/>
      <c r="F36" s="48"/>
      <c r="G36" s="48"/>
      <c r="H36" s="48"/>
    </row>
    <row r="37" spans="1:8" ht="32.4" customHeight="1" x14ac:dyDescent="0.3">
      <c r="A37" s="3" t="s">
        <v>48</v>
      </c>
      <c r="B37" s="4" t="s">
        <v>49</v>
      </c>
      <c r="C37" s="5" t="s">
        <v>50</v>
      </c>
      <c r="D37" s="49" t="s">
        <v>51</v>
      </c>
      <c r="E37" s="49"/>
      <c r="F37" s="49"/>
      <c r="G37" s="49"/>
      <c r="H37" s="49"/>
    </row>
    <row r="38" spans="1:8" ht="48.65" customHeight="1" x14ac:dyDescent="0.3">
      <c r="A38" s="3"/>
      <c r="B38" s="4"/>
      <c r="C38" s="5" t="s">
        <v>52</v>
      </c>
      <c r="D38" s="49" t="s">
        <v>53</v>
      </c>
      <c r="E38" s="49"/>
      <c r="F38" s="49"/>
      <c r="G38" s="49"/>
      <c r="H38" s="49"/>
    </row>
    <row r="39" spans="1:8" ht="48.65" customHeight="1" x14ac:dyDescent="0.3">
      <c r="A39" s="3"/>
      <c r="B39" s="4"/>
      <c r="C39" s="5" t="s">
        <v>54</v>
      </c>
      <c r="D39" s="49" t="s">
        <v>55</v>
      </c>
      <c r="E39" s="49"/>
      <c r="F39" s="49"/>
      <c r="G39" s="49"/>
      <c r="H39" s="49"/>
    </row>
    <row r="40" spans="1:8" ht="48.65" customHeight="1" x14ac:dyDescent="0.3">
      <c r="A40" s="3"/>
      <c r="B40" s="4"/>
      <c r="C40" s="5" t="s">
        <v>56</v>
      </c>
      <c r="D40" s="49" t="s">
        <v>57</v>
      </c>
      <c r="E40" s="49"/>
      <c r="F40" s="49"/>
      <c r="G40" s="49"/>
      <c r="H40" s="49"/>
    </row>
    <row r="41" spans="1:8" ht="26.4" customHeight="1" x14ac:dyDescent="0.3">
      <c r="A41" s="3" t="s">
        <v>58</v>
      </c>
      <c r="B41" s="4" t="s">
        <v>59</v>
      </c>
      <c r="C41" s="48" t="s">
        <v>60</v>
      </c>
      <c r="D41" s="48"/>
      <c r="E41" s="48"/>
      <c r="F41" s="48"/>
      <c r="G41" s="48"/>
      <c r="H41" s="48"/>
    </row>
    <row r="42" spans="1:8" ht="50.4" customHeight="1" x14ac:dyDescent="0.3">
      <c r="A42" s="6" t="s">
        <v>61</v>
      </c>
      <c r="B42" s="6"/>
      <c r="C42" s="6"/>
      <c r="D42" s="46" t="s">
        <v>62</v>
      </c>
      <c r="E42" s="46"/>
      <c r="F42" s="46"/>
      <c r="G42" s="46"/>
      <c r="H42" s="46"/>
    </row>
  </sheetData>
  <mergeCells count="26">
    <mergeCell ref="A26:A29"/>
    <mergeCell ref="C26:C29"/>
    <mergeCell ref="A1:B1"/>
    <mergeCell ref="C1:H1"/>
    <mergeCell ref="A3:H3"/>
    <mergeCell ref="A4:H4"/>
    <mergeCell ref="A11:A12"/>
    <mergeCell ref="C11:C12"/>
    <mergeCell ref="D11:D12"/>
    <mergeCell ref="C15:C16"/>
    <mergeCell ref="D15:D16"/>
    <mergeCell ref="A22:A23"/>
    <mergeCell ref="C22:C23"/>
    <mergeCell ref="D22:D23"/>
    <mergeCell ref="D42:H42"/>
    <mergeCell ref="B31:H31"/>
    <mergeCell ref="C32:H32"/>
    <mergeCell ref="C33:H33"/>
    <mergeCell ref="C34:H34"/>
    <mergeCell ref="C35:H35"/>
    <mergeCell ref="C36:H36"/>
    <mergeCell ref="D37:H37"/>
    <mergeCell ref="D38:H38"/>
    <mergeCell ref="D39:H39"/>
    <mergeCell ref="D40:H40"/>
    <mergeCell ref="C41:H41"/>
  </mergeCells>
  <phoneticPr fontId="1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zoomScale="66" workbookViewId="0">
      <selection activeCell="F6" sqref="F6"/>
    </sheetView>
  </sheetViews>
  <sheetFormatPr defaultColWidth="9" defaultRowHeight="50.4" customHeight="1" x14ac:dyDescent="0.3"/>
  <cols>
    <col min="1" max="1" width="5.4140625" style="1" customWidth="1"/>
    <col min="2" max="2" width="32.33203125" style="1" customWidth="1"/>
    <col min="3" max="3" width="29.25" style="1" customWidth="1"/>
    <col min="4" max="4" width="9.58203125" style="1" customWidth="1"/>
    <col min="5" max="5" width="10" style="1" customWidth="1"/>
    <col min="6" max="6" width="12.6640625" style="1" customWidth="1"/>
    <col min="7" max="7" width="10.4140625" style="1" customWidth="1"/>
    <col min="8" max="8" width="14.58203125" style="1" customWidth="1"/>
    <col min="9" max="9" width="13.75" style="1" customWidth="1"/>
    <col min="10" max="16384" width="9" style="1"/>
  </cols>
  <sheetData>
    <row r="1" spans="1:9" ht="100.75" customHeight="1" x14ac:dyDescent="0.3">
      <c r="A1" s="52"/>
      <c r="B1" s="52"/>
      <c r="C1" s="53" t="s">
        <v>0</v>
      </c>
      <c r="D1" s="53"/>
      <c r="E1" s="53"/>
      <c r="F1" s="53"/>
      <c r="G1" s="53"/>
      <c r="H1" s="53"/>
    </row>
    <row r="2" spans="1:9" ht="17.399999999999999" customHeight="1" x14ac:dyDescent="0.3">
      <c r="A2" s="17"/>
      <c r="B2" s="17"/>
      <c r="C2" s="18"/>
      <c r="D2" s="18"/>
      <c r="E2" s="18"/>
      <c r="F2" s="19" t="s">
        <v>1</v>
      </c>
      <c r="G2" s="20"/>
      <c r="H2" s="20">
        <f ca="1">TODAY()</f>
        <v>45794</v>
      </c>
    </row>
    <row r="3" spans="1:9" ht="48" customHeight="1" x14ac:dyDescent="0.3">
      <c r="A3" s="54" t="s">
        <v>2</v>
      </c>
      <c r="B3" s="54"/>
      <c r="C3" s="54"/>
      <c r="D3" s="54"/>
      <c r="E3" s="54"/>
      <c r="F3" s="54"/>
      <c r="G3" s="54"/>
      <c r="H3" s="54"/>
    </row>
    <row r="4" spans="1:9" ht="63" customHeight="1" x14ac:dyDescent="0.3">
      <c r="A4" s="55" t="s">
        <v>68</v>
      </c>
      <c r="B4" s="56"/>
      <c r="C4" s="56"/>
      <c r="D4" s="56"/>
      <c r="E4" s="56"/>
      <c r="F4" s="56"/>
      <c r="G4" s="56"/>
      <c r="H4" s="56"/>
    </row>
    <row r="5" spans="1:9" ht="50.4" customHeight="1" x14ac:dyDescent="0.3">
      <c r="A5" s="15" t="s">
        <v>63</v>
      </c>
      <c r="B5" s="15" t="s">
        <v>64</v>
      </c>
      <c r="C5" s="15" t="s">
        <v>3</v>
      </c>
      <c r="D5" s="15" t="s">
        <v>4</v>
      </c>
      <c r="E5" s="15" t="s">
        <v>5</v>
      </c>
      <c r="F5" s="21" t="s">
        <v>6</v>
      </c>
      <c r="G5" s="21" t="s">
        <v>65</v>
      </c>
      <c r="H5" s="21" t="s">
        <v>66</v>
      </c>
    </row>
    <row r="6" spans="1:9" ht="124.25" customHeight="1" x14ac:dyDescent="0.3">
      <c r="A6" s="16">
        <v>1</v>
      </c>
      <c r="B6" s="13" t="s">
        <v>7</v>
      </c>
      <c r="C6" s="8"/>
      <c r="D6" s="9" t="s">
        <v>8</v>
      </c>
      <c r="E6" s="9">
        <v>1</v>
      </c>
      <c r="F6" s="10">
        <v>63500</v>
      </c>
      <c r="G6" s="10">
        <f>F6*10%</f>
        <v>6350</v>
      </c>
      <c r="H6" s="10">
        <f>F6*E6+G6</f>
        <v>69850</v>
      </c>
      <c r="I6" s="7"/>
    </row>
    <row r="7" spans="1:9" ht="124.25" customHeight="1" x14ac:dyDescent="0.3">
      <c r="A7" s="16">
        <v>2</v>
      </c>
      <c r="B7" s="13" t="s">
        <v>9</v>
      </c>
      <c r="C7" s="8"/>
      <c r="D7" s="9" t="s">
        <v>8</v>
      </c>
      <c r="E7" s="9">
        <v>1</v>
      </c>
      <c r="F7" s="10">
        <v>62800</v>
      </c>
      <c r="G7" s="10">
        <f t="shared" ref="G7:G29" si="0">F7*10%</f>
        <v>6280</v>
      </c>
      <c r="H7" s="10">
        <f t="shared" ref="H7:H29" si="1">F7*E7+G7</f>
        <v>69080</v>
      </c>
      <c r="I7" s="7"/>
    </row>
    <row r="8" spans="1:9" ht="124.25" customHeight="1" x14ac:dyDescent="0.3">
      <c r="A8" s="16">
        <v>3</v>
      </c>
      <c r="B8" s="13" t="s">
        <v>10</v>
      </c>
      <c r="C8" s="8"/>
      <c r="D8" s="9" t="s">
        <v>8</v>
      </c>
      <c r="E8" s="9">
        <v>1</v>
      </c>
      <c r="F8" s="10">
        <v>61000</v>
      </c>
      <c r="G8" s="10">
        <f t="shared" si="0"/>
        <v>6100</v>
      </c>
      <c r="H8" s="10">
        <f t="shared" si="1"/>
        <v>67100</v>
      </c>
      <c r="I8" s="7"/>
    </row>
    <row r="9" spans="1:9" ht="124.25" customHeight="1" x14ac:dyDescent="0.3">
      <c r="A9" s="16">
        <v>4</v>
      </c>
      <c r="B9" s="13" t="s">
        <v>11</v>
      </c>
      <c r="C9" s="8"/>
      <c r="D9" s="9" t="s">
        <v>8</v>
      </c>
      <c r="E9" s="9">
        <v>1</v>
      </c>
      <c r="F9" s="10">
        <v>54600</v>
      </c>
      <c r="G9" s="10">
        <f t="shared" si="0"/>
        <v>5460</v>
      </c>
      <c r="H9" s="10">
        <f t="shared" si="1"/>
        <v>60060</v>
      </c>
      <c r="I9" s="7"/>
    </row>
    <row r="10" spans="1:9" ht="109.25" customHeight="1" x14ac:dyDescent="0.3">
      <c r="A10" s="16">
        <v>5</v>
      </c>
      <c r="B10" s="13" t="s">
        <v>12</v>
      </c>
      <c r="C10" s="11"/>
      <c r="D10" s="9" t="s">
        <v>13</v>
      </c>
      <c r="E10" s="9">
        <v>1</v>
      </c>
      <c r="F10" s="10">
        <v>22000</v>
      </c>
      <c r="G10" s="10">
        <f t="shared" si="0"/>
        <v>2200</v>
      </c>
      <c r="H10" s="10">
        <f t="shared" si="1"/>
        <v>24200</v>
      </c>
      <c r="I10" s="7"/>
    </row>
    <row r="11" spans="1:9" ht="72" customHeight="1" x14ac:dyDescent="0.3">
      <c r="A11" s="57">
        <v>6</v>
      </c>
      <c r="B11" s="13" t="s">
        <v>14</v>
      </c>
      <c r="C11" s="51"/>
      <c r="D11" s="58" t="s">
        <v>13</v>
      </c>
      <c r="E11" s="9">
        <v>1</v>
      </c>
      <c r="F11" s="10">
        <v>16800</v>
      </c>
      <c r="G11" s="10">
        <f t="shared" si="0"/>
        <v>1680</v>
      </c>
      <c r="H11" s="10">
        <f t="shared" si="1"/>
        <v>18480</v>
      </c>
      <c r="I11" s="7"/>
    </row>
    <row r="12" spans="1:9" ht="72" customHeight="1" x14ac:dyDescent="0.3">
      <c r="A12" s="57"/>
      <c r="B12" s="13" t="s">
        <v>15</v>
      </c>
      <c r="C12" s="51"/>
      <c r="D12" s="58"/>
      <c r="E12" s="9">
        <v>1</v>
      </c>
      <c r="F12" s="10">
        <v>14200</v>
      </c>
      <c r="G12" s="10">
        <f t="shared" si="0"/>
        <v>1420</v>
      </c>
      <c r="H12" s="10">
        <f t="shared" si="1"/>
        <v>15620</v>
      </c>
      <c r="I12" s="7"/>
    </row>
    <row r="13" spans="1:9" ht="93.65" customHeight="1" x14ac:dyDescent="0.3">
      <c r="A13" s="16">
        <v>7</v>
      </c>
      <c r="B13" s="13" t="s">
        <v>16</v>
      </c>
      <c r="C13" s="8"/>
      <c r="D13" s="9" t="s">
        <v>17</v>
      </c>
      <c r="E13" s="9">
        <v>1</v>
      </c>
      <c r="F13" s="10">
        <v>10300</v>
      </c>
      <c r="G13" s="10">
        <f t="shared" si="0"/>
        <v>1030</v>
      </c>
      <c r="H13" s="10">
        <f t="shared" si="1"/>
        <v>11330</v>
      </c>
      <c r="I13" s="7"/>
    </row>
    <row r="14" spans="1:9" ht="134.4" customHeight="1" x14ac:dyDescent="0.3">
      <c r="A14" s="16">
        <v>8</v>
      </c>
      <c r="B14" s="13" t="s">
        <v>18</v>
      </c>
      <c r="C14" s="8"/>
      <c r="D14" s="9" t="s">
        <v>17</v>
      </c>
      <c r="E14" s="9">
        <v>1</v>
      </c>
      <c r="F14" s="10">
        <v>6600</v>
      </c>
      <c r="G14" s="10">
        <f t="shared" si="0"/>
        <v>660</v>
      </c>
      <c r="H14" s="10">
        <f t="shared" si="1"/>
        <v>7260</v>
      </c>
      <c r="I14" s="7"/>
    </row>
    <row r="15" spans="1:9" ht="72" customHeight="1" x14ac:dyDescent="0.3">
      <c r="A15" s="16">
        <v>9</v>
      </c>
      <c r="B15" s="13" t="s">
        <v>19</v>
      </c>
      <c r="C15" s="51"/>
      <c r="D15" s="58" t="s">
        <v>17</v>
      </c>
      <c r="E15" s="9">
        <v>1</v>
      </c>
      <c r="F15" s="10">
        <v>14700</v>
      </c>
      <c r="G15" s="10">
        <f t="shared" si="0"/>
        <v>1470</v>
      </c>
      <c r="H15" s="10">
        <f t="shared" si="1"/>
        <v>16170</v>
      </c>
      <c r="I15" s="7"/>
    </row>
    <row r="16" spans="1:9" ht="72" customHeight="1" x14ac:dyDescent="0.3">
      <c r="A16" s="16">
        <v>10</v>
      </c>
      <c r="B16" s="13" t="s">
        <v>20</v>
      </c>
      <c r="C16" s="51"/>
      <c r="D16" s="58"/>
      <c r="E16" s="9">
        <v>1</v>
      </c>
      <c r="F16" s="10">
        <v>24200</v>
      </c>
      <c r="G16" s="10">
        <f t="shared" si="0"/>
        <v>2420</v>
      </c>
      <c r="H16" s="10">
        <f t="shared" si="1"/>
        <v>26620</v>
      </c>
      <c r="I16" s="7"/>
    </row>
    <row r="17" spans="1:9" ht="117" customHeight="1" x14ac:dyDescent="0.3">
      <c r="A17" s="16">
        <v>11</v>
      </c>
      <c r="B17" s="13" t="s">
        <v>21</v>
      </c>
      <c r="C17" s="8"/>
      <c r="D17" s="9" t="s">
        <v>17</v>
      </c>
      <c r="E17" s="9">
        <v>1</v>
      </c>
      <c r="F17" s="10">
        <v>7000</v>
      </c>
      <c r="G17" s="10">
        <f t="shared" si="0"/>
        <v>700</v>
      </c>
      <c r="H17" s="10">
        <f t="shared" si="1"/>
        <v>7700</v>
      </c>
      <c r="I17" s="7"/>
    </row>
    <row r="18" spans="1:9" ht="120" customHeight="1" x14ac:dyDescent="0.3">
      <c r="A18" s="16">
        <v>12</v>
      </c>
      <c r="B18" s="13" t="s">
        <v>22</v>
      </c>
      <c r="C18" s="8"/>
      <c r="D18" s="9" t="s">
        <v>17</v>
      </c>
      <c r="E18" s="9">
        <v>1</v>
      </c>
      <c r="F18" s="10">
        <v>19000</v>
      </c>
      <c r="G18" s="10">
        <f t="shared" si="0"/>
        <v>1900</v>
      </c>
      <c r="H18" s="10">
        <f t="shared" si="1"/>
        <v>20900</v>
      </c>
      <c r="I18" s="7"/>
    </row>
    <row r="19" spans="1:9" ht="102.65" customHeight="1" x14ac:dyDescent="0.3">
      <c r="A19" s="16">
        <v>13</v>
      </c>
      <c r="B19" s="13" t="s">
        <v>23</v>
      </c>
      <c r="C19" s="8"/>
      <c r="D19" s="9" t="s">
        <v>17</v>
      </c>
      <c r="E19" s="9">
        <v>1</v>
      </c>
      <c r="F19" s="10">
        <v>18400</v>
      </c>
      <c r="G19" s="10">
        <f t="shared" si="0"/>
        <v>1840</v>
      </c>
      <c r="H19" s="10">
        <f t="shared" si="1"/>
        <v>20240</v>
      </c>
      <c r="I19" s="7"/>
    </row>
    <row r="20" spans="1:9" ht="85.75" customHeight="1" x14ac:dyDescent="0.3">
      <c r="A20" s="16">
        <v>14</v>
      </c>
      <c r="B20" s="13" t="s">
        <v>24</v>
      </c>
      <c r="C20" s="8"/>
      <c r="D20" s="9" t="s">
        <v>17</v>
      </c>
      <c r="E20" s="9">
        <v>1</v>
      </c>
      <c r="F20" s="10">
        <v>13700</v>
      </c>
      <c r="G20" s="10">
        <f t="shared" si="0"/>
        <v>1370</v>
      </c>
      <c r="H20" s="10">
        <f t="shared" si="1"/>
        <v>15070</v>
      </c>
      <c r="I20" s="7"/>
    </row>
    <row r="21" spans="1:9" ht="88.25" customHeight="1" x14ac:dyDescent="0.3">
      <c r="A21" s="16">
        <v>15</v>
      </c>
      <c r="B21" s="13" t="s">
        <v>25</v>
      </c>
      <c r="C21" s="12"/>
      <c r="D21" s="9" t="s">
        <v>17</v>
      </c>
      <c r="E21" s="9">
        <v>1</v>
      </c>
      <c r="F21" s="10">
        <v>10000</v>
      </c>
      <c r="G21" s="10">
        <f t="shared" si="0"/>
        <v>1000</v>
      </c>
      <c r="H21" s="10">
        <f t="shared" si="1"/>
        <v>11000</v>
      </c>
      <c r="I21" s="7"/>
    </row>
    <row r="22" spans="1:9" ht="72" customHeight="1" x14ac:dyDescent="0.3">
      <c r="A22" s="50">
        <v>16</v>
      </c>
      <c r="B22" s="13" t="s">
        <v>26</v>
      </c>
      <c r="C22" s="59" t="e" vm="1">
        <v>#VALUE!</v>
      </c>
      <c r="D22" s="58" t="s">
        <v>13</v>
      </c>
      <c r="E22" s="9">
        <v>1</v>
      </c>
      <c r="F22" s="10">
        <v>17400</v>
      </c>
      <c r="G22" s="10">
        <f t="shared" si="0"/>
        <v>1740</v>
      </c>
      <c r="H22" s="10">
        <f t="shared" si="1"/>
        <v>19140</v>
      </c>
      <c r="I22" s="7"/>
    </row>
    <row r="23" spans="1:9" ht="72" customHeight="1" x14ac:dyDescent="0.3">
      <c r="A23" s="50"/>
      <c r="B23" s="13" t="s">
        <v>27</v>
      </c>
      <c r="C23" s="59"/>
      <c r="D23" s="58"/>
      <c r="E23" s="9">
        <v>1</v>
      </c>
      <c r="F23" s="10">
        <v>23700</v>
      </c>
      <c r="G23" s="10">
        <f t="shared" si="0"/>
        <v>2370</v>
      </c>
      <c r="H23" s="10">
        <f t="shared" si="1"/>
        <v>26070</v>
      </c>
      <c r="I23" s="7"/>
    </row>
    <row r="24" spans="1:9" ht="72" customHeight="1" x14ac:dyDescent="0.3">
      <c r="A24" s="16">
        <v>17</v>
      </c>
      <c r="B24" s="14" t="s">
        <v>28</v>
      </c>
      <c r="C24" s="8"/>
      <c r="D24" s="9" t="s">
        <v>13</v>
      </c>
      <c r="E24" s="9">
        <v>1</v>
      </c>
      <c r="F24" s="10">
        <v>1100</v>
      </c>
      <c r="G24" s="10">
        <f t="shared" si="0"/>
        <v>110</v>
      </c>
      <c r="H24" s="10">
        <f t="shared" si="1"/>
        <v>1210</v>
      </c>
      <c r="I24" s="7"/>
    </row>
    <row r="25" spans="1:9" ht="111" customHeight="1" x14ac:dyDescent="0.3">
      <c r="A25" s="16">
        <v>18</v>
      </c>
      <c r="B25" s="14" t="s">
        <v>29</v>
      </c>
      <c r="C25" s="8"/>
      <c r="D25" s="9" t="s">
        <v>13</v>
      </c>
      <c r="E25" s="9">
        <v>1</v>
      </c>
      <c r="F25" s="10">
        <v>1100</v>
      </c>
      <c r="G25" s="10">
        <f t="shared" si="0"/>
        <v>110</v>
      </c>
      <c r="H25" s="10">
        <f t="shared" si="1"/>
        <v>1210</v>
      </c>
      <c r="I25" s="7"/>
    </row>
    <row r="26" spans="1:9" ht="36" customHeight="1" x14ac:dyDescent="0.3">
      <c r="A26" s="50">
        <v>19</v>
      </c>
      <c r="B26" s="14" t="s">
        <v>30</v>
      </c>
      <c r="C26" s="51"/>
      <c r="D26" s="9" t="s">
        <v>13</v>
      </c>
      <c r="E26" s="9">
        <v>1</v>
      </c>
      <c r="F26" s="10">
        <v>1200</v>
      </c>
      <c r="G26" s="10">
        <f t="shared" si="0"/>
        <v>120</v>
      </c>
      <c r="H26" s="10">
        <f t="shared" si="1"/>
        <v>1320</v>
      </c>
      <c r="I26" s="7"/>
    </row>
    <row r="27" spans="1:9" ht="36" customHeight="1" x14ac:dyDescent="0.3">
      <c r="A27" s="50"/>
      <c r="B27" s="14" t="s">
        <v>31</v>
      </c>
      <c r="C27" s="51"/>
      <c r="D27" s="9" t="s">
        <v>13</v>
      </c>
      <c r="E27" s="9">
        <v>1</v>
      </c>
      <c r="F27" s="10">
        <v>1300</v>
      </c>
      <c r="G27" s="10">
        <f t="shared" si="0"/>
        <v>130</v>
      </c>
      <c r="H27" s="10">
        <f t="shared" si="1"/>
        <v>1430</v>
      </c>
      <c r="I27" s="7"/>
    </row>
    <row r="28" spans="1:9" ht="36" customHeight="1" x14ac:dyDescent="0.3">
      <c r="A28" s="50"/>
      <c r="B28" s="14" t="s">
        <v>32</v>
      </c>
      <c r="C28" s="51"/>
      <c r="D28" s="9" t="s">
        <v>13</v>
      </c>
      <c r="E28" s="9">
        <v>1</v>
      </c>
      <c r="F28" s="10">
        <v>1600</v>
      </c>
      <c r="G28" s="10">
        <f t="shared" si="0"/>
        <v>160</v>
      </c>
      <c r="H28" s="10">
        <f t="shared" si="1"/>
        <v>1760</v>
      </c>
      <c r="I28" s="7"/>
    </row>
    <row r="29" spans="1:9" ht="36" customHeight="1" x14ac:dyDescent="0.3">
      <c r="A29" s="50"/>
      <c r="B29" s="14" t="s">
        <v>33</v>
      </c>
      <c r="C29" s="51"/>
      <c r="D29" s="9" t="s">
        <v>13</v>
      </c>
      <c r="E29" s="9">
        <v>1</v>
      </c>
      <c r="F29" s="10">
        <v>1800</v>
      </c>
      <c r="G29" s="10">
        <f t="shared" si="0"/>
        <v>180</v>
      </c>
      <c r="H29" s="10">
        <f t="shared" si="1"/>
        <v>1980</v>
      </c>
      <c r="I29" s="7"/>
    </row>
    <row r="30" spans="1:9" ht="27" customHeight="1" x14ac:dyDescent="0.3"/>
    <row r="31" spans="1:9" ht="33.65" customHeight="1" x14ac:dyDescent="0.3">
      <c r="A31" s="2" t="s">
        <v>34</v>
      </c>
      <c r="B31" s="47" t="s">
        <v>35</v>
      </c>
      <c r="C31" s="47"/>
      <c r="D31" s="47"/>
      <c r="E31" s="47"/>
      <c r="F31" s="47"/>
      <c r="G31" s="47"/>
      <c r="H31" s="47"/>
    </row>
    <row r="32" spans="1:9" ht="32.4" customHeight="1" x14ac:dyDescent="0.3">
      <c r="A32" s="3" t="s">
        <v>36</v>
      </c>
      <c r="B32" s="4" t="s">
        <v>37</v>
      </c>
      <c r="C32" s="48" t="s">
        <v>67</v>
      </c>
      <c r="D32" s="48"/>
      <c r="E32" s="48"/>
      <c r="F32" s="48"/>
      <c r="G32" s="48"/>
      <c r="H32" s="48"/>
    </row>
    <row r="33" spans="1:8" ht="32.4" customHeight="1" x14ac:dyDescent="0.3">
      <c r="A33" s="3" t="s">
        <v>38</v>
      </c>
      <c r="B33" s="4" t="s">
        <v>39</v>
      </c>
      <c r="C33" s="48" t="s">
        <v>40</v>
      </c>
      <c r="D33" s="48"/>
      <c r="E33" s="48"/>
      <c r="F33" s="48"/>
      <c r="G33" s="48"/>
      <c r="H33" s="48"/>
    </row>
    <row r="34" spans="1:8" ht="32.4" customHeight="1" x14ac:dyDescent="0.3">
      <c r="A34" s="3" t="s">
        <v>41</v>
      </c>
      <c r="B34" s="4" t="s">
        <v>42</v>
      </c>
      <c r="C34" s="48" t="s">
        <v>40</v>
      </c>
      <c r="D34" s="48"/>
      <c r="E34" s="48"/>
      <c r="F34" s="48"/>
      <c r="G34" s="48"/>
      <c r="H34" s="48"/>
    </row>
    <row r="35" spans="1:8" ht="32.4" customHeight="1" x14ac:dyDescent="0.3">
      <c r="A35" s="3">
        <v>4</v>
      </c>
      <c r="B35" s="4" t="s">
        <v>43</v>
      </c>
      <c r="C35" s="48" t="s">
        <v>44</v>
      </c>
      <c r="D35" s="48"/>
      <c r="E35" s="48"/>
      <c r="F35" s="48"/>
      <c r="G35" s="48"/>
      <c r="H35" s="48"/>
    </row>
    <row r="36" spans="1:8" ht="32.4" customHeight="1" x14ac:dyDescent="0.3">
      <c r="A36" s="3" t="s">
        <v>45</v>
      </c>
      <c r="B36" s="4" t="s">
        <v>46</v>
      </c>
      <c r="C36" s="48" t="s">
        <v>47</v>
      </c>
      <c r="D36" s="48"/>
      <c r="E36" s="48"/>
      <c r="F36" s="48"/>
      <c r="G36" s="48"/>
      <c r="H36" s="48"/>
    </row>
    <row r="37" spans="1:8" ht="32.4" customHeight="1" x14ac:dyDescent="0.3">
      <c r="A37" s="3" t="s">
        <v>48</v>
      </c>
      <c r="B37" s="4" t="s">
        <v>49</v>
      </c>
      <c r="C37" s="5" t="s">
        <v>50</v>
      </c>
      <c r="D37" s="49" t="s">
        <v>51</v>
      </c>
      <c r="E37" s="49"/>
      <c r="F37" s="49"/>
      <c r="G37" s="49"/>
      <c r="H37" s="49"/>
    </row>
    <row r="38" spans="1:8" ht="48.65" customHeight="1" x14ac:dyDescent="0.3">
      <c r="A38" s="3"/>
      <c r="B38" s="4"/>
      <c r="C38" s="5" t="s">
        <v>52</v>
      </c>
      <c r="D38" s="49" t="s">
        <v>53</v>
      </c>
      <c r="E38" s="49"/>
      <c r="F38" s="49"/>
      <c r="G38" s="49"/>
      <c r="H38" s="49"/>
    </row>
    <row r="39" spans="1:8" ht="48.65" customHeight="1" x14ac:dyDescent="0.3">
      <c r="A39" s="3"/>
      <c r="B39" s="4"/>
      <c r="C39" s="5" t="s">
        <v>54</v>
      </c>
      <c r="D39" s="49" t="s">
        <v>55</v>
      </c>
      <c r="E39" s="49"/>
      <c r="F39" s="49"/>
      <c r="G39" s="49"/>
      <c r="H39" s="49"/>
    </row>
    <row r="40" spans="1:8" ht="48.65" customHeight="1" x14ac:dyDescent="0.3">
      <c r="A40" s="3"/>
      <c r="B40" s="4"/>
      <c r="C40" s="5" t="s">
        <v>56</v>
      </c>
      <c r="D40" s="49" t="s">
        <v>57</v>
      </c>
      <c r="E40" s="49"/>
      <c r="F40" s="49"/>
      <c r="G40" s="49"/>
      <c r="H40" s="49"/>
    </row>
    <row r="41" spans="1:8" ht="26.4" customHeight="1" x14ac:dyDescent="0.3">
      <c r="A41" s="3" t="s">
        <v>58</v>
      </c>
      <c r="B41" s="4" t="s">
        <v>59</v>
      </c>
      <c r="C41" s="48" t="s">
        <v>60</v>
      </c>
      <c r="D41" s="48"/>
      <c r="E41" s="48"/>
      <c r="F41" s="48"/>
      <c r="G41" s="48"/>
      <c r="H41" s="48"/>
    </row>
    <row r="42" spans="1:8" ht="50.4" customHeight="1" x14ac:dyDescent="0.3">
      <c r="A42" s="6" t="s">
        <v>61</v>
      </c>
      <c r="B42" s="6"/>
      <c r="C42" s="6"/>
      <c r="D42" s="46" t="s">
        <v>62</v>
      </c>
      <c r="E42" s="46"/>
      <c r="F42" s="46"/>
      <c r="G42" s="46"/>
      <c r="H42" s="46"/>
    </row>
  </sheetData>
  <mergeCells count="26">
    <mergeCell ref="D42:H42"/>
    <mergeCell ref="B31:H31"/>
    <mergeCell ref="C32:H32"/>
    <mergeCell ref="C33:H33"/>
    <mergeCell ref="C34:H34"/>
    <mergeCell ref="C35:H35"/>
    <mergeCell ref="C36:H36"/>
    <mergeCell ref="D37:H37"/>
    <mergeCell ref="D38:H38"/>
    <mergeCell ref="D39:H39"/>
    <mergeCell ref="D40:H40"/>
    <mergeCell ref="C41:H41"/>
    <mergeCell ref="A26:A29"/>
    <mergeCell ref="C26:C29"/>
    <mergeCell ref="A1:B1"/>
    <mergeCell ref="C1:H1"/>
    <mergeCell ref="A3:H3"/>
    <mergeCell ref="A4:H4"/>
    <mergeCell ref="A11:A12"/>
    <mergeCell ref="C11:C12"/>
    <mergeCell ref="D11:D12"/>
    <mergeCell ref="C15:C16"/>
    <mergeCell ref="D15:D16"/>
    <mergeCell ref="A22:A23"/>
    <mergeCell ref="C22:C23"/>
    <mergeCell ref="D22:D23"/>
  </mergeCells>
  <phoneticPr fontId="15" type="noConversion"/>
  <pageMargins left="0.7" right="0.7" top="0.75" bottom="0.75" header="0.3" footer="0.3"/>
  <pageSetup paperSize="9"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42A3-25A0-42D8-8677-4A5B74EEA504}">
  <dimension ref="A1:I42"/>
  <sheetViews>
    <sheetView topLeftCell="A2" zoomScale="70" zoomScaleNormal="70" workbookViewId="0">
      <selection activeCell="J27" sqref="J27"/>
    </sheetView>
  </sheetViews>
  <sheetFormatPr defaultColWidth="9" defaultRowHeight="50.4" customHeight="1" x14ac:dyDescent="0.3"/>
  <cols>
    <col min="1" max="1" width="5.4140625" style="1" customWidth="1"/>
    <col min="2" max="2" width="32.33203125" style="1" customWidth="1"/>
    <col min="3" max="3" width="29.25" style="1" customWidth="1"/>
    <col min="4" max="4" width="9.58203125" style="1" customWidth="1"/>
    <col min="5" max="5" width="10" style="1" customWidth="1"/>
    <col min="6" max="6" width="12.6640625" style="1" customWidth="1"/>
    <col min="7" max="7" width="10.4140625" style="1" customWidth="1"/>
    <col min="8" max="8" width="14.58203125" style="1" customWidth="1"/>
    <col min="9" max="9" width="13.75" style="1" customWidth="1"/>
    <col min="10" max="16384" width="9" style="1"/>
  </cols>
  <sheetData>
    <row r="1" spans="1:9" ht="100.75" customHeight="1" x14ac:dyDescent="0.3">
      <c r="A1" s="52"/>
      <c r="B1" s="52"/>
      <c r="C1" s="53" t="s">
        <v>0</v>
      </c>
      <c r="D1" s="53"/>
      <c r="E1" s="53"/>
      <c r="F1" s="53"/>
      <c r="G1" s="53"/>
      <c r="H1" s="53"/>
    </row>
    <row r="2" spans="1:9" ht="17.399999999999999" customHeight="1" x14ac:dyDescent="0.3">
      <c r="A2" s="17"/>
      <c r="B2" s="17"/>
      <c r="C2" s="18"/>
      <c r="D2" s="18"/>
      <c r="E2" s="18"/>
      <c r="F2" s="19" t="s">
        <v>1</v>
      </c>
      <c r="G2" s="20"/>
      <c r="H2" s="20">
        <f ca="1">TODAY()</f>
        <v>45794</v>
      </c>
    </row>
    <row r="3" spans="1:9" ht="48" customHeight="1" x14ac:dyDescent="0.3">
      <c r="A3" s="54" t="s">
        <v>2</v>
      </c>
      <c r="B3" s="54"/>
      <c r="C3" s="54"/>
      <c r="D3" s="54"/>
      <c r="E3" s="54"/>
      <c r="F3" s="54"/>
      <c r="G3" s="54"/>
      <c r="H3" s="54"/>
    </row>
    <row r="4" spans="1:9" ht="63" customHeight="1" x14ac:dyDescent="0.3">
      <c r="A4" s="55" t="s">
        <v>68</v>
      </c>
      <c r="B4" s="56"/>
      <c r="C4" s="56"/>
      <c r="D4" s="56"/>
      <c r="E4" s="56"/>
      <c r="F4" s="56"/>
      <c r="G4" s="56"/>
      <c r="H4" s="56"/>
    </row>
    <row r="5" spans="1:9" ht="50.4" customHeight="1" x14ac:dyDescent="0.3">
      <c r="A5" s="15" t="s">
        <v>63</v>
      </c>
      <c r="B5" s="15" t="s">
        <v>64</v>
      </c>
      <c r="C5" s="15" t="s">
        <v>3</v>
      </c>
      <c r="D5" s="15" t="s">
        <v>4</v>
      </c>
      <c r="E5" s="15" t="s">
        <v>5</v>
      </c>
      <c r="F5" s="21" t="s">
        <v>6</v>
      </c>
      <c r="G5" s="21" t="s">
        <v>65</v>
      </c>
      <c r="H5" s="21" t="s">
        <v>66</v>
      </c>
    </row>
    <row r="6" spans="1:9" ht="124.25" customHeight="1" x14ac:dyDescent="0.3">
      <c r="A6" s="16">
        <v>1</v>
      </c>
      <c r="B6" s="13" t="s">
        <v>7</v>
      </c>
      <c r="C6" s="8"/>
      <c r="D6" s="9" t="s">
        <v>8</v>
      </c>
      <c r="E6" s="9">
        <v>1</v>
      </c>
      <c r="F6" s="10">
        <v>64000</v>
      </c>
      <c r="G6" s="10">
        <f>F6*10%</f>
        <v>6400</v>
      </c>
      <c r="H6" s="10">
        <f>F6*E6+G6</f>
        <v>70400</v>
      </c>
      <c r="I6" s="7"/>
    </row>
    <row r="7" spans="1:9" ht="124.25" customHeight="1" x14ac:dyDescent="0.3">
      <c r="A7" s="16">
        <v>2</v>
      </c>
      <c r="B7" s="13" t="s">
        <v>9</v>
      </c>
      <c r="C7" s="8"/>
      <c r="D7" s="9" t="s">
        <v>8</v>
      </c>
      <c r="E7" s="9">
        <v>1</v>
      </c>
      <c r="F7" s="10">
        <v>63500</v>
      </c>
      <c r="G7" s="10">
        <f t="shared" ref="G7:G29" si="0">F7*10%</f>
        <v>6350</v>
      </c>
      <c r="H7" s="10">
        <f t="shared" ref="H7:H29" si="1">F7*E7+G7</f>
        <v>69850</v>
      </c>
      <c r="I7" s="7"/>
    </row>
    <row r="8" spans="1:9" ht="124.25" customHeight="1" x14ac:dyDescent="0.3">
      <c r="A8" s="16">
        <v>3</v>
      </c>
      <c r="B8" s="13" t="s">
        <v>10</v>
      </c>
      <c r="C8" s="8"/>
      <c r="D8" s="9" t="s">
        <v>8</v>
      </c>
      <c r="E8" s="9">
        <v>1</v>
      </c>
      <c r="F8" s="10">
        <v>62000</v>
      </c>
      <c r="G8" s="10">
        <f t="shared" si="0"/>
        <v>6200</v>
      </c>
      <c r="H8" s="10">
        <f t="shared" si="1"/>
        <v>68200</v>
      </c>
      <c r="I8" s="7"/>
    </row>
    <row r="9" spans="1:9" ht="124.25" customHeight="1" x14ac:dyDescent="0.3">
      <c r="A9" s="16">
        <v>4</v>
      </c>
      <c r="B9" s="13" t="s">
        <v>11</v>
      </c>
      <c r="C9" s="8"/>
      <c r="D9" s="9" t="s">
        <v>8</v>
      </c>
      <c r="E9" s="9">
        <v>1</v>
      </c>
      <c r="F9" s="10">
        <v>55200</v>
      </c>
      <c r="G9" s="10">
        <f t="shared" si="0"/>
        <v>5520</v>
      </c>
      <c r="H9" s="10">
        <f t="shared" si="1"/>
        <v>60720</v>
      </c>
      <c r="I9" s="7"/>
    </row>
    <row r="10" spans="1:9" ht="109.25" customHeight="1" x14ac:dyDescent="0.3">
      <c r="A10" s="16">
        <v>5</v>
      </c>
      <c r="B10" s="13" t="s">
        <v>12</v>
      </c>
      <c r="C10" s="11"/>
      <c r="D10" s="9" t="s">
        <v>13</v>
      </c>
      <c r="E10" s="9">
        <v>1</v>
      </c>
      <c r="F10" s="10">
        <v>22500</v>
      </c>
      <c r="G10" s="10">
        <f t="shared" si="0"/>
        <v>2250</v>
      </c>
      <c r="H10" s="10">
        <f t="shared" si="1"/>
        <v>24750</v>
      </c>
      <c r="I10" s="7"/>
    </row>
    <row r="11" spans="1:9" ht="72" customHeight="1" x14ac:dyDescent="0.3">
      <c r="A11" s="57">
        <v>6</v>
      </c>
      <c r="B11" s="13" t="s">
        <v>14</v>
      </c>
      <c r="C11" s="51"/>
      <c r="D11" s="58" t="s">
        <v>13</v>
      </c>
      <c r="E11" s="9">
        <v>1</v>
      </c>
      <c r="F11" s="10">
        <v>17000</v>
      </c>
      <c r="G11" s="10">
        <f t="shared" si="0"/>
        <v>1700</v>
      </c>
      <c r="H11" s="10">
        <f t="shared" si="1"/>
        <v>18700</v>
      </c>
      <c r="I11" s="7"/>
    </row>
    <row r="12" spans="1:9" ht="72" customHeight="1" x14ac:dyDescent="0.3">
      <c r="A12" s="57"/>
      <c r="B12" s="13" t="s">
        <v>15</v>
      </c>
      <c r="C12" s="51"/>
      <c r="D12" s="58"/>
      <c r="E12" s="9">
        <v>1</v>
      </c>
      <c r="F12" s="10">
        <v>14500</v>
      </c>
      <c r="G12" s="10">
        <f t="shared" si="0"/>
        <v>1450</v>
      </c>
      <c r="H12" s="10">
        <f t="shared" si="1"/>
        <v>15950</v>
      </c>
      <c r="I12" s="7"/>
    </row>
    <row r="13" spans="1:9" ht="93.65" customHeight="1" x14ac:dyDescent="0.3">
      <c r="A13" s="16">
        <v>7</v>
      </c>
      <c r="B13" s="13" t="s">
        <v>16</v>
      </c>
      <c r="C13" s="8"/>
      <c r="D13" s="9" t="s">
        <v>17</v>
      </c>
      <c r="E13" s="9">
        <v>1</v>
      </c>
      <c r="F13" s="10">
        <v>10300</v>
      </c>
      <c r="G13" s="10">
        <f t="shared" si="0"/>
        <v>1030</v>
      </c>
      <c r="H13" s="10">
        <f t="shared" si="1"/>
        <v>11330</v>
      </c>
      <c r="I13" s="7"/>
    </row>
    <row r="14" spans="1:9" ht="134.4" customHeight="1" x14ac:dyDescent="0.3">
      <c r="A14" s="16">
        <v>8</v>
      </c>
      <c r="B14" s="13" t="s">
        <v>18</v>
      </c>
      <c r="C14" s="8"/>
      <c r="D14" s="9" t="s">
        <v>17</v>
      </c>
      <c r="E14" s="9">
        <v>1</v>
      </c>
      <c r="F14" s="10">
        <v>7000</v>
      </c>
      <c r="G14" s="10">
        <f t="shared" si="0"/>
        <v>700</v>
      </c>
      <c r="H14" s="10">
        <f t="shared" si="1"/>
        <v>7700</v>
      </c>
      <c r="I14" s="7"/>
    </row>
    <row r="15" spans="1:9" ht="72" customHeight="1" x14ac:dyDescent="0.3">
      <c r="A15" s="16">
        <v>9</v>
      </c>
      <c r="B15" s="13" t="s">
        <v>19</v>
      </c>
      <c r="C15" s="51"/>
      <c r="D15" s="58" t="s">
        <v>17</v>
      </c>
      <c r="E15" s="9">
        <v>1</v>
      </c>
      <c r="F15" s="10">
        <v>14900</v>
      </c>
      <c r="G15" s="10">
        <f t="shared" si="0"/>
        <v>1490</v>
      </c>
      <c r="H15" s="10">
        <f t="shared" si="1"/>
        <v>16390</v>
      </c>
      <c r="I15" s="7"/>
    </row>
    <row r="16" spans="1:9" ht="72" customHeight="1" x14ac:dyDescent="0.3">
      <c r="A16" s="16">
        <v>10</v>
      </c>
      <c r="B16" s="13" t="s">
        <v>20</v>
      </c>
      <c r="C16" s="51"/>
      <c r="D16" s="58"/>
      <c r="E16" s="9">
        <v>1</v>
      </c>
      <c r="F16" s="10">
        <v>24500</v>
      </c>
      <c r="G16" s="10">
        <f t="shared" si="0"/>
        <v>2450</v>
      </c>
      <c r="H16" s="10">
        <f t="shared" si="1"/>
        <v>26950</v>
      </c>
      <c r="I16" s="7"/>
    </row>
    <row r="17" spans="1:9" ht="117" customHeight="1" x14ac:dyDescent="0.3">
      <c r="A17" s="16">
        <v>11</v>
      </c>
      <c r="B17" s="13" t="s">
        <v>21</v>
      </c>
      <c r="C17" s="8"/>
      <c r="D17" s="9" t="s">
        <v>17</v>
      </c>
      <c r="E17" s="9">
        <v>1</v>
      </c>
      <c r="F17" s="10">
        <v>7000</v>
      </c>
      <c r="G17" s="10">
        <f t="shared" si="0"/>
        <v>700</v>
      </c>
      <c r="H17" s="10">
        <f t="shared" si="1"/>
        <v>7700</v>
      </c>
      <c r="I17" s="7"/>
    </row>
    <row r="18" spans="1:9" ht="120" customHeight="1" x14ac:dyDescent="0.3">
      <c r="A18" s="16">
        <v>12</v>
      </c>
      <c r="B18" s="13" t="s">
        <v>22</v>
      </c>
      <c r="C18" s="8"/>
      <c r="D18" s="9" t="s">
        <v>17</v>
      </c>
      <c r="E18" s="9">
        <v>1</v>
      </c>
      <c r="F18" s="10">
        <v>19300</v>
      </c>
      <c r="G18" s="10">
        <f t="shared" si="0"/>
        <v>1930</v>
      </c>
      <c r="H18" s="10">
        <f t="shared" si="1"/>
        <v>21230</v>
      </c>
      <c r="I18" s="7"/>
    </row>
    <row r="19" spans="1:9" ht="102.65" customHeight="1" x14ac:dyDescent="0.3">
      <c r="A19" s="16">
        <v>13</v>
      </c>
      <c r="B19" s="13" t="s">
        <v>23</v>
      </c>
      <c r="C19" s="8"/>
      <c r="D19" s="9" t="s">
        <v>17</v>
      </c>
      <c r="E19" s="9">
        <v>1</v>
      </c>
      <c r="F19" s="10">
        <v>18600</v>
      </c>
      <c r="G19" s="10">
        <f t="shared" si="0"/>
        <v>1860</v>
      </c>
      <c r="H19" s="10">
        <f t="shared" si="1"/>
        <v>20460</v>
      </c>
      <c r="I19" s="7"/>
    </row>
    <row r="20" spans="1:9" ht="85.75" customHeight="1" x14ac:dyDescent="0.3">
      <c r="A20" s="16">
        <v>14</v>
      </c>
      <c r="B20" s="13" t="s">
        <v>24</v>
      </c>
      <c r="C20" s="8"/>
      <c r="D20" s="9" t="s">
        <v>17</v>
      </c>
      <c r="E20" s="9">
        <v>1</v>
      </c>
      <c r="F20" s="10">
        <v>13800</v>
      </c>
      <c r="G20" s="10">
        <f t="shared" si="0"/>
        <v>1380</v>
      </c>
      <c r="H20" s="10">
        <f t="shared" si="1"/>
        <v>15180</v>
      </c>
      <c r="I20" s="7"/>
    </row>
    <row r="21" spans="1:9" ht="88.25" customHeight="1" x14ac:dyDescent="0.3">
      <c r="A21" s="16">
        <v>15</v>
      </c>
      <c r="B21" s="13" t="s">
        <v>25</v>
      </c>
      <c r="C21" s="12"/>
      <c r="D21" s="9" t="s">
        <v>17</v>
      </c>
      <c r="E21" s="9">
        <v>1</v>
      </c>
      <c r="F21" s="10">
        <v>10000</v>
      </c>
      <c r="G21" s="10">
        <f t="shared" si="0"/>
        <v>1000</v>
      </c>
      <c r="H21" s="10">
        <f t="shared" si="1"/>
        <v>11000</v>
      </c>
      <c r="I21" s="7"/>
    </row>
    <row r="22" spans="1:9" ht="72" customHeight="1" x14ac:dyDescent="0.3">
      <c r="A22" s="50">
        <v>16</v>
      </c>
      <c r="B22" s="13" t="s">
        <v>26</v>
      </c>
      <c r="C22" s="59" t="e" vm="1">
        <v>#VALUE!</v>
      </c>
      <c r="D22" s="58" t="s">
        <v>13</v>
      </c>
      <c r="E22" s="9">
        <v>1</v>
      </c>
      <c r="F22" s="10">
        <v>17600</v>
      </c>
      <c r="G22" s="10">
        <f t="shared" si="0"/>
        <v>1760</v>
      </c>
      <c r="H22" s="10">
        <f t="shared" si="1"/>
        <v>19360</v>
      </c>
      <c r="I22" s="7"/>
    </row>
    <row r="23" spans="1:9" ht="72" customHeight="1" x14ac:dyDescent="0.3">
      <c r="A23" s="50"/>
      <c r="B23" s="13" t="s">
        <v>27</v>
      </c>
      <c r="C23" s="59"/>
      <c r="D23" s="58"/>
      <c r="E23" s="9">
        <v>1</v>
      </c>
      <c r="F23" s="10">
        <v>2400</v>
      </c>
      <c r="G23" s="10">
        <f t="shared" si="0"/>
        <v>240</v>
      </c>
      <c r="H23" s="10">
        <f t="shared" si="1"/>
        <v>2640</v>
      </c>
      <c r="I23" s="7"/>
    </row>
    <row r="24" spans="1:9" ht="72" customHeight="1" x14ac:dyDescent="0.3">
      <c r="A24" s="16">
        <v>17</v>
      </c>
      <c r="B24" s="14" t="s">
        <v>28</v>
      </c>
      <c r="C24" s="8"/>
      <c r="D24" s="9" t="s">
        <v>13</v>
      </c>
      <c r="E24" s="9">
        <v>1</v>
      </c>
      <c r="F24" s="10">
        <v>1100</v>
      </c>
      <c r="G24" s="10">
        <f t="shared" si="0"/>
        <v>110</v>
      </c>
      <c r="H24" s="10">
        <f t="shared" si="1"/>
        <v>1210</v>
      </c>
      <c r="I24" s="7"/>
    </row>
    <row r="25" spans="1:9" ht="111" customHeight="1" x14ac:dyDescent="0.3">
      <c r="A25" s="16">
        <v>18</v>
      </c>
      <c r="B25" s="14" t="s">
        <v>29</v>
      </c>
      <c r="C25" s="8"/>
      <c r="D25" s="9" t="s">
        <v>13</v>
      </c>
      <c r="E25" s="9">
        <v>1</v>
      </c>
      <c r="F25" s="10">
        <v>1100</v>
      </c>
      <c r="G25" s="10">
        <f t="shared" si="0"/>
        <v>110</v>
      </c>
      <c r="H25" s="10">
        <f t="shared" si="1"/>
        <v>1210</v>
      </c>
      <c r="I25" s="7"/>
    </row>
    <row r="26" spans="1:9" ht="36" customHeight="1" x14ac:dyDescent="0.3">
      <c r="A26" s="50">
        <v>19</v>
      </c>
      <c r="B26" s="14" t="s">
        <v>30</v>
      </c>
      <c r="C26" s="51"/>
      <c r="D26" s="9" t="s">
        <v>13</v>
      </c>
      <c r="E26" s="9">
        <v>1</v>
      </c>
      <c r="F26" s="10">
        <v>1200</v>
      </c>
      <c r="G26" s="10">
        <f t="shared" si="0"/>
        <v>120</v>
      </c>
      <c r="H26" s="10">
        <f t="shared" si="1"/>
        <v>1320</v>
      </c>
      <c r="I26" s="7"/>
    </row>
    <row r="27" spans="1:9" ht="36" customHeight="1" x14ac:dyDescent="0.3">
      <c r="A27" s="50"/>
      <c r="B27" s="14" t="s">
        <v>31</v>
      </c>
      <c r="C27" s="51"/>
      <c r="D27" s="9" t="s">
        <v>13</v>
      </c>
      <c r="E27" s="9">
        <v>1</v>
      </c>
      <c r="F27" s="10">
        <v>1300</v>
      </c>
      <c r="G27" s="10">
        <f t="shared" si="0"/>
        <v>130</v>
      </c>
      <c r="H27" s="10">
        <f t="shared" si="1"/>
        <v>1430</v>
      </c>
      <c r="I27" s="7"/>
    </row>
    <row r="28" spans="1:9" ht="36" customHeight="1" x14ac:dyDescent="0.3">
      <c r="A28" s="50"/>
      <c r="B28" s="14" t="s">
        <v>32</v>
      </c>
      <c r="C28" s="51"/>
      <c r="D28" s="9" t="s">
        <v>13</v>
      </c>
      <c r="E28" s="9">
        <v>1</v>
      </c>
      <c r="F28" s="10">
        <v>1600</v>
      </c>
      <c r="G28" s="10">
        <f t="shared" si="0"/>
        <v>160</v>
      </c>
      <c r="H28" s="10">
        <f t="shared" si="1"/>
        <v>1760</v>
      </c>
      <c r="I28" s="7"/>
    </row>
    <row r="29" spans="1:9" ht="36" customHeight="1" x14ac:dyDescent="0.3">
      <c r="A29" s="50"/>
      <c r="B29" s="14" t="s">
        <v>33</v>
      </c>
      <c r="C29" s="51"/>
      <c r="D29" s="9" t="s">
        <v>13</v>
      </c>
      <c r="E29" s="9">
        <v>1</v>
      </c>
      <c r="F29" s="10">
        <v>1800</v>
      </c>
      <c r="G29" s="10">
        <f t="shared" si="0"/>
        <v>180</v>
      </c>
      <c r="H29" s="10">
        <f t="shared" si="1"/>
        <v>1980</v>
      </c>
      <c r="I29" s="7"/>
    </row>
    <row r="30" spans="1:9" ht="27" customHeight="1" x14ac:dyDescent="0.3"/>
    <row r="31" spans="1:9" ht="33.65" customHeight="1" x14ac:dyDescent="0.3">
      <c r="A31" s="2" t="s">
        <v>34</v>
      </c>
      <c r="B31" s="47" t="s">
        <v>35</v>
      </c>
      <c r="C31" s="47"/>
      <c r="D31" s="47"/>
      <c r="E31" s="47"/>
      <c r="F31" s="47"/>
      <c r="G31" s="47"/>
      <c r="H31" s="47"/>
    </row>
    <row r="32" spans="1:9" ht="32.4" customHeight="1" x14ac:dyDescent="0.3">
      <c r="A32" s="3" t="s">
        <v>36</v>
      </c>
      <c r="B32" s="4" t="s">
        <v>37</v>
      </c>
      <c r="C32" s="48" t="s">
        <v>67</v>
      </c>
      <c r="D32" s="48"/>
      <c r="E32" s="48"/>
      <c r="F32" s="48"/>
      <c r="G32" s="48"/>
      <c r="H32" s="48"/>
    </row>
    <row r="33" spans="1:8" ht="32.4" customHeight="1" x14ac:dyDescent="0.3">
      <c r="A33" s="3" t="s">
        <v>38</v>
      </c>
      <c r="B33" s="4" t="s">
        <v>39</v>
      </c>
      <c r="C33" s="48" t="s">
        <v>40</v>
      </c>
      <c r="D33" s="48"/>
      <c r="E33" s="48"/>
      <c r="F33" s="48"/>
      <c r="G33" s="48"/>
      <c r="H33" s="48"/>
    </row>
    <row r="34" spans="1:8" ht="32.4" customHeight="1" x14ac:dyDescent="0.3">
      <c r="A34" s="3" t="s">
        <v>41</v>
      </c>
      <c r="B34" s="4" t="s">
        <v>42</v>
      </c>
      <c r="C34" s="48" t="s">
        <v>40</v>
      </c>
      <c r="D34" s="48"/>
      <c r="E34" s="48"/>
      <c r="F34" s="48"/>
      <c r="G34" s="48"/>
      <c r="H34" s="48"/>
    </row>
    <row r="35" spans="1:8" ht="32.4" customHeight="1" x14ac:dyDescent="0.3">
      <c r="A35" s="3">
        <v>4</v>
      </c>
      <c r="B35" s="4" t="s">
        <v>43</v>
      </c>
      <c r="C35" s="48" t="s">
        <v>44</v>
      </c>
      <c r="D35" s="48"/>
      <c r="E35" s="48"/>
      <c r="F35" s="48"/>
      <c r="G35" s="48"/>
      <c r="H35" s="48"/>
    </row>
    <row r="36" spans="1:8" ht="32.4" customHeight="1" x14ac:dyDescent="0.3">
      <c r="A36" s="3" t="s">
        <v>45</v>
      </c>
      <c r="B36" s="4" t="s">
        <v>46</v>
      </c>
      <c r="C36" s="48" t="s">
        <v>47</v>
      </c>
      <c r="D36" s="48"/>
      <c r="E36" s="48"/>
      <c r="F36" s="48"/>
      <c r="G36" s="48"/>
      <c r="H36" s="48"/>
    </row>
    <row r="37" spans="1:8" ht="32.4" customHeight="1" x14ac:dyDescent="0.3">
      <c r="A37" s="3" t="s">
        <v>48</v>
      </c>
      <c r="B37" s="4" t="s">
        <v>49</v>
      </c>
      <c r="C37" s="5" t="s">
        <v>50</v>
      </c>
      <c r="D37" s="49" t="s">
        <v>51</v>
      </c>
      <c r="E37" s="49"/>
      <c r="F37" s="49"/>
      <c r="G37" s="49"/>
      <c r="H37" s="49"/>
    </row>
    <row r="38" spans="1:8" ht="48.65" customHeight="1" x14ac:dyDescent="0.3">
      <c r="A38" s="3"/>
      <c r="B38" s="4"/>
      <c r="C38" s="5" t="s">
        <v>52</v>
      </c>
      <c r="D38" s="49" t="s">
        <v>53</v>
      </c>
      <c r="E38" s="49"/>
      <c r="F38" s="49"/>
      <c r="G38" s="49"/>
      <c r="H38" s="49"/>
    </row>
    <row r="39" spans="1:8" ht="48.65" customHeight="1" x14ac:dyDescent="0.3">
      <c r="A39" s="3"/>
      <c r="B39" s="4"/>
      <c r="C39" s="5" t="s">
        <v>54</v>
      </c>
      <c r="D39" s="49" t="s">
        <v>55</v>
      </c>
      <c r="E39" s="49"/>
      <c r="F39" s="49"/>
      <c r="G39" s="49"/>
      <c r="H39" s="49"/>
    </row>
    <row r="40" spans="1:8" ht="48.65" customHeight="1" x14ac:dyDescent="0.3">
      <c r="A40" s="3"/>
      <c r="B40" s="4"/>
      <c r="C40" s="5" t="s">
        <v>56</v>
      </c>
      <c r="D40" s="49" t="s">
        <v>57</v>
      </c>
      <c r="E40" s="49"/>
      <c r="F40" s="49"/>
      <c r="G40" s="49"/>
      <c r="H40" s="49"/>
    </row>
    <row r="41" spans="1:8" ht="26.4" customHeight="1" x14ac:dyDescent="0.3">
      <c r="A41" s="3" t="s">
        <v>58</v>
      </c>
      <c r="B41" s="4" t="s">
        <v>59</v>
      </c>
      <c r="C41" s="48" t="s">
        <v>60</v>
      </c>
      <c r="D41" s="48"/>
      <c r="E41" s="48"/>
      <c r="F41" s="48"/>
      <c r="G41" s="48"/>
      <c r="H41" s="48"/>
    </row>
    <row r="42" spans="1:8" ht="50.4" customHeight="1" x14ac:dyDescent="0.3">
      <c r="A42" s="6" t="s">
        <v>61</v>
      </c>
      <c r="B42" s="6"/>
      <c r="C42" s="6"/>
      <c r="D42" s="46" t="s">
        <v>62</v>
      </c>
      <c r="E42" s="46"/>
      <c r="F42" s="46"/>
      <c r="G42" s="46"/>
      <c r="H42" s="46"/>
    </row>
  </sheetData>
  <mergeCells count="26">
    <mergeCell ref="A26:A29"/>
    <mergeCell ref="C26:C29"/>
    <mergeCell ref="A1:B1"/>
    <mergeCell ref="C1:H1"/>
    <mergeCell ref="A3:H3"/>
    <mergeCell ref="A4:H4"/>
    <mergeCell ref="A11:A12"/>
    <mergeCell ref="C11:C12"/>
    <mergeCell ref="D11:D12"/>
    <mergeCell ref="C15:C16"/>
    <mergeCell ref="D15:D16"/>
    <mergeCell ref="A22:A23"/>
    <mergeCell ref="C22:C23"/>
    <mergeCell ref="D22:D23"/>
    <mergeCell ref="D42:H42"/>
    <mergeCell ref="B31:H31"/>
    <mergeCell ref="C32:H32"/>
    <mergeCell ref="C33:H33"/>
    <mergeCell ref="C34:H34"/>
    <mergeCell ref="C35:H35"/>
    <mergeCell ref="C36:H36"/>
    <mergeCell ref="D37:H37"/>
    <mergeCell ref="D38:H38"/>
    <mergeCell ref="D39:H39"/>
    <mergeCell ref="D40:H40"/>
    <mergeCell ref="C41:H41"/>
  </mergeCells>
  <phoneticPr fontId="1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D6543-C248-41D9-95FB-8538EFEF0765}">
  <dimension ref="A1:J42"/>
  <sheetViews>
    <sheetView topLeftCell="A17" zoomScale="70" zoomScaleNormal="70" workbookViewId="0">
      <selection activeCell="G6" sqref="G6"/>
    </sheetView>
  </sheetViews>
  <sheetFormatPr defaultColWidth="9" defaultRowHeight="50.4" customHeight="1" x14ac:dyDescent="0.3"/>
  <cols>
    <col min="1" max="1" width="5.4140625" style="1" customWidth="1"/>
    <col min="2" max="2" width="32.33203125" style="1" customWidth="1"/>
    <col min="3" max="3" width="29.25" style="1" customWidth="1"/>
    <col min="4" max="4" width="9.58203125" style="1" customWidth="1"/>
    <col min="5" max="5" width="10" style="1" customWidth="1"/>
    <col min="6" max="6" width="12.6640625" style="1" customWidth="1"/>
    <col min="7" max="7" width="10.4140625" style="1" customWidth="1"/>
    <col min="8" max="8" width="14.58203125" style="1" customWidth="1"/>
    <col min="9" max="9" width="13.75" style="1" customWidth="1"/>
    <col min="10" max="10" width="10.08203125" style="1" bestFit="1" customWidth="1"/>
    <col min="11" max="16384" width="9" style="1"/>
  </cols>
  <sheetData>
    <row r="1" spans="1:10" ht="100.75" customHeight="1" x14ac:dyDescent="0.3">
      <c r="A1" s="52"/>
      <c r="B1" s="52"/>
      <c r="C1" s="53" t="s">
        <v>0</v>
      </c>
      <c r="D1" s="53"/>
      <c r="E1" s="53"/>
      <c r="F1" s="53"/>
      <c r="G1" s="53"/>
      <c r="H1" s="53"/>
    </row>
    <row r="2" spans="1:10" ht="17.399999999999999" customHeight="1" x14ac:dyDescent="0.3">
      <c r="A2" s="17"/>
      <c r="B2" s="17"/>
      <c r="C2" s="18"/>
      <c r="D2" s="18"/>
      <c r="E2" s="18"/>
      <c r="F2" s="19" t="s">
        <v>1</v>
      </c>
      <c r="G2" s="20"/>
      <c r="H2" s="20">
        <f ca="1">TODAY()</f>
        <v>45794</v>
      </c>
    </row>
    <row r="3" spans="1:10" ht="48" customHeight="1" x14ac:dyDescent="0.3">
      <c r="A3" s="54" t="s">
        <v>2</v>
      </c>
      <c r="B3" s="54"/>
      <c r="C3" s="54"/>
      <c r="D3" s="54"/>
      <c r="E3" s="54"/>
      <c r="F3" s="54"/>
      <c r="G3" s="54"/>
      <c r="H3" s="54"/>
    </row>
    <row r="4" spans="1:10" ht="63" customHeight="1" x14ac:dyDescent="0.3">
      <c r="A4" s="55" t="s">
        <v>68</v>
      </c>
      <c r="B4" s="56"/>
      <c r="C4" s="56"/>
      <c r="D4" s="56"/>
      <c r="E4" s="56"/>
      <c r="F4" s="56"/>
      <c r="G4" s="56"/>
      <c r="H4" s="56"/>
    </row>
    <row r="5" spans="1:10" ht="50.4" customHeight="1" x14ac:dyDescent="0.3">
      <c r="A5" s="15" t="s">
        <v>63</v>
      </c>
      <c r="B5" s="15" t="s">
        <v>64</v>
      </c>
      <c r="C5" s="15" t="s">
        <v>3</v>
      </c>
      <c r="D5" s="15" t="s">
        <v>4</v>
      </c>
      <c r="E5" s="15" t="s">
        <v>5</v>
      </c>
      <c r="F5" s="21" t="s">
        <v>6</v>
      </c>
      <c r="G5" s="21" t="s">
        <v>65</v>
      </c>
      <c r="H5" s="21" t="s">
        <v>66</v>
      </c>
    </row>
    <row r="6" spans="1:10" ht="124.25" customHeight="1" x14ac:dyDescent="0.3">
      <c r="A6" s="16">
        <v>1</v>
      </c>
      <c r="B6" s="13" t="s">
        <v>7</v>
      </c>
      <c r="C6" s="8"/>
      <c r="D6" s="9" t="s">
        <v>8</v>
      </c>
      <c r="E6" s="9">
        <v>1</v>
      </c>
      <c r="F6" s="22">
        <v>67000</v>
      </c>
      <c r="G6" s="10">
        <f>F6*10%</f>
        <v>6700</v>
      </c>
      <c r="H6" s="10">
        <f>F6*E6+G6</f>
        <v>73700</v>
      </c>
      <c r="I6" s="7"/>
      <c r="J6" s="7"/>
    </row>
    <row r="7" spans="1:10" ht="124.25" customHeight="1" x14ac:dyDescent="0.3">
      <c r="A7" s="16">
        <v>2</v>
      </c>
      <c r="B7" s="13" t="s">
        <v>9</v>
      </c>
      <c r="C7" s="8"/>
      <c r="D7" s="9" t="s">
        <v>8</v>
      </c>
      <c r="E7" s="9">
        <v>1</v>
      </c>
      <c r="F7" s="22">
        <v>66200</v>
      </c>
      <c r="G7" s="10">
        <f t="shared" ref="G7:G29" si="0">F7*10%</f>
        <v>6620</v>
      </c>
      <c r="H7" s="10">
        <f t="shared" ref="H7:H29" si="1">F7*E7+G7</f>
        <v>72820</v>
      </c>
      <c r="I7" s="7"/>
      <c r="J7" s="7"/>
    </row>
    <row r="8" spans="1:10" ht="124.25" customHeight="1" x14ac:dyDescent="0.3">
      <c r="A8" s="16">
        <v>3</v>
      </c>
      <c r="B8" s="13" t="s">
        <v>10</v>
      </c>
      <c r="C8" s="8"/>
      <c r="D8" s="9" t="s">
        <v>8</v>
      </c>
      <c r="E8" s="9">
        <v>1</v>
      </c>
      <c r="F8" s="22">
        <v>64400</v>
      </c>
      <c r="G8" s="10">
        <f t="shared" si="0"/>
        <v>6440</v>
      </c>
      <c r="H8" s="10">
        <f t="shared" si="1"/>
        <v>70840</v>
      </c>
      <c r="I8" s="7"/>
      <c r="J8" s="7"/>
    </row>
    <row r="9" spans="1:10" ht="124.25" customHeight="1" x14ac:dyDescent="0.3">
      <c r="A9" s="16">
        <v>4</v>
      </c>
      <c r="B9" s="13" t="s">
        <v>11</v>
      </c>
      <c r="C9" s="8"/>
      <c r="D9" s="9" t="s">
        <v>8</v>
      </c>
      <c r="E9" s="9">
        <v>1</v>
      </c>
      <c r="F9" s="22">
        <v>57800</v>
      </c>
      <c r="G9" s="10">
        <f t="shared" si="0"/>
        <v>5780</v>
      </c>
      <c r="H9" s="10">
        <f t="shared" si="1"/>
        <v>63580</v>
      </c>
      <c r="I9" s="7"/>
      <c r="J9" s="7"/>
    </row>
    <row r="10" spans="1:10" ht="109.25" customHeight="1" x14ac:dyDescent="0.3">
      <c r="A10" s="16">
        <v>5</v>
      </c>
      <c r="B10" s="13" t="s">
        <v>12</v>
      </c>
      <c r="C10" s="11"/>
      <c r="D10" s="9" t="s">
        <v>13</v>
      </c>
      <c r="E10" s="9">
        <v>1</v>
      </c>
      <c r="F10" s="22">
        <v>23300</v>
      </c>
      <c r="G10" s="10">
        <f t="shared" si="0"/>
        <v>2330</v>
      </c>
      <c r="H10" s="10">
        <f t="shared" si="1"/>
        <v>25630</v>
      </c>
      <c r="I10" s="7"/>
      <c r="J10" s="7"/>
    </row>
    <row r="11" spans="1:10" ht="72" customHeight="1" x14ac:dyDescent="0.3">
      <c r="A11" s="57">
        <v>6</v>
      </c>
      <c r="B11" s="13" t="s">
        <v>14</v>
      </c>
      <c r="C11" s="51"/>
      <c r="D11" s="58" t="s">
        <v>13</v>
      </c>
      <c r="E11" s="9">
        <v>1</v>
      </c>
      <c r="F11" s="22">
        <v>17800</v>
      </c>
      <c r="G11" s="10">
        <f t="shared" si="0"/>
        <v>1780</v>
      </c>
      <c r="H11" s="10">
        <f t="shared" si="1"/>
        <v>19580</v>
      </c>
      <c r="I11" s="7"/>
      <c r="J11" s="7"/>
    </row>
    <row r="12" spans="1:10" ht="72" customHeight="1" x14ac:dyDescent="0.3">
      <c r="A12" s="57"/>
      <c r="B12" s="13" t="s">
        <v>15</v>
      </c>
      <c r="C12" s="51"/>
      <c r="D12" s="58"/>
      <c r="E12" s="9">
        <v>1</v>
      </c>
      <c r="F12" s="22">
        <v>15000</v>
      </c>
      <c r="G12" s="10">
        <f t="shared" si="0"/>
        <v>1500</v>
      </c>
      <c r="H12" s="10">
        <f t="shared" si="1"/>
        <v>16500</v>
      </c>
      <c r="I12" s="7"/>
      <c r="J12" s="7"/>
    </row>
    <row r="13" spans="1:10" ht="93.65" customHeight="1" x14ac:dyDescent="0.3">
      <c r="A13" s="16">
        <v>7</v>
      </c>
      <c r="B13" s="13" t="s">
        <v>16</v>
      </c>
      <c r="C13" s="8"/>
      <c r="D13" s="9" t="s">
        <v>17</v>
      </c>
      <c r="E13" s="9">
        <v>1</v>
      </c>
      <c r="F13" s="22">
        <v>10800</v>
      </c>
      <c r="G13" s="10">
        <f t="shared" si="0"/>
        <v>1080</v>
      </c>
      <c r="H13" s="10">
        <f t="shared" si="1"/>
        <v>11880</v>
      </c>
      <c r="I13" s="7"/>
      <c r="J13" s="7"/>
    </row>
    <row r="14" spans="1:10" ht="134.4" customHeight="1" x14ac:dyDescent="0.3">
      <c r="A14" s="16">
        <v>8</v>
      </c>
      <c r="B14" s="13" t="s">
        <v>18</v>
      </c>
      <c r="C14" s="8"/>
      <c r="D14" s="9" t="s">
        <v>17</v>
      </c>
      <c r="E14" s="9">
        <v>1</v>
      </c>
      <c r="F14" s="22">
        <v>7500</v>
      </c>
      <c r="G14" s="10">
        <f t="shared" si="0"/>
        <v>750</v>
      </c>
      <c r="H14" s="10">
        <f t="shared" si="1"/>
        <v>8250</v>
      </c>
      <c r="I14" s="7"/>
      <c r="J14" s="7"/>
    </row>
    <row r="15" spans="1:10" ht="72" customHeight="1" x14ac:dyDescent="0.3">
      <c r="A15" s="16">
        <v>9</v>
      </c>
      <c r="B15" s="13" t="s">
        <v>19</v>
      </c>
      <c r="C15" s="51"/>
      <c r="D15" s="58" t="s">
        <v>17</v>
      </c>
      <c r="E15" s="9">
        <v>1</v>
      </c>
      <c r="F15" s="22">
        <v>15500</v>
      </c>
      <c r="G15" s="10">
        <f t="shared" si="0"/>
        <v>1550</v>
      </c>
      <c r="H15" s="10">
        <f t="shared" si="1"/>
        <v>17050</v>
      </c>
      <c r="I15" s="7"/>
      <c r="J15" s="7"/>
    </row>
    <row r="16" spans="1:10" ht="72" customHeight="1" x14ac:dyDescent="0.3">
      <c r="A16" s="16">
        <v>10</v>
      </c>
      <c r="B16" s="13" t="s">
        <v>20</v>
      </c>
      <c r="C16" s="51"/>
      <c r="D16" s="58"/>
      <c r="E16" s="9">
        <v>1</v>
      </c>
      <c r="F16" s="22">
        <v>25500</v>
      </c>
      <c r="G16" s="10">
        <f t="shared" si="0"/>
        <v>2550</v>
      </c>
      <c r="H16" s="10">
        <f t="shared" si="1"/>
        <v>28050</v>
      </c>
      <c r="I16" s="7"/>
      <c r="J16" s="7"/>
    </row>
    <row r="17" spans="1:10" ht="117" customHeight="1" x14ac:dyDescent="0.3">
      <c r="A17" s="16">
        <v>11</v>
      </c>
      <c r="B17" s="13" t="s">
        <v>21</v>
      </c>
      <c r="C17" s="8"/>
      <c r="D17" s="9" t="s">
        <v>17</v>
      </c>
      <c r="E17" s="9">
        <v>1</v>
      </c>
      <c r="F17" s="24">
        <v>7500</v>
      </c>
      <c r="G17" s="10">
        <f t="shared" si="0"/>
        <v>750</v>
      </c>
      <c r="H17" s="10">
        <f t="shared" si="1"/>
        <v>8250</v>
      </c>
      <c r="I17" s="7"/>
      <c r="J17" s="7"/>
    </row>
    <row r="18" spans="1:10" ht="120" customHeight="1" x14ac:dyDescent="0.3">
      <c r="A18" s="16">
        <v>12</v>
      </c>
      <c r="B18" s="13" t="s">
        <v>22</v>
      </c>
      <c r="C18" s="8"/>
      <c r="D18" s="9" t="s">
        <v>17</v>
      </c>
      <c r="E18" s="9">
        <v>1</v>
      </c>
      <c r="F18" s="22">
        <v>20000</v>
      </c>
      <c r="G18" s="10">
        <f t="shared" si="0"/>
        <v>2000</v>
      </c>
      <c r="H18" s="10">
        <f t="shared" si="1"/>
        <v>22000</v>
      </c>
      <c r="I18" s="7"/>
      <c r="J18" s="7"/>
    </row>
    <row r="19" spans="1:10" ht="102.65" customHeight="1" x14ac:dyDescent="0.3">
      <c r="A19" s="16">
        <v>13</v>
      </c>
      <c r="B19" s="13" t="s">
        <v>23</v>
      </c>
      <c r="C19" s="8"/>
      <c r="D19" s="9" t="s">
        <v>17</v>
      </c>
      <c r="E19" s="9">
        <v>1</v>
      </c>
      <c r="F19" s="22">
        <v>19400</v>
      </c>
      <c r="G19" s="10">
        <f t="shared" si="0"/>
        <v>1940</v>
      </c>
      <c r="H19" s="10">
        <f t="shared" si="1"/>
        <v>21340</v>
      </c>
      <c r="I19" s="7"/>
      <c r="J19" s="7"/>
    </row>
    <row r="20" spans="1:10" ht="85.75" customHeight="1" x14ac:dyDescent="0.3">
      <c r="A20" s="16">
        <v>14</v>
      </c>
      <c r="B20" s="13" t="s">
        <v>24</v>
      </c>
      <c r="C20" s="8"/>
      <c r="D20" s="9" t="s">
        <v>17</v>
      </c>
      <c r="E20" s="9">
        <v>1</v>
      </c>
      <c r="F20" s="22">
        <v>14500</v>
      </c>
      <c r="G20" s="10">
        <f t="shared" si="0"/>
        <v>1450</v>
      </c>
      <c r="H20" s="10">
        <f t="shared" si="1"/>
        <v>15950</v>
      </c>
      <c r="I20" s="7"/>
      <c r="J20" s="7"/>
    </row>
    <row r="21" spans="1:10" ht="88.25" customHeight="1" x14ac:dyDescent="0.3">
      <c r="A21" s="16">
        <v>15</v>
      </c>
      <c r="B21" s="13" t="s">
        <v>25</v>
      </c>
      <c r="C21" s="12"/>
      <c r="D21" s="9" t="s">
        <v>17</v>
      </c>
      <c r="E21" s="9">
        <v>1</v>
      </c>
      <c r="F21" s="22">
        <v>10500</v>
      </c>
      <c r="G21" s="10">
        <f t="shared" si="0"/>
        <v>1050</v>
      </c>
      <c r="H21" s="10">
        <f t="shared" si="1"/>
        <v>11550</v>
      </c>
      <c r="I21" s="7"/>
      <c r="J21" s="7"/>
    </row>
    <row r="22" spans="1:10" ht="72" customHeight="1" x14ac:dyDescent="0.3">
      <c r="A22" s="50">
        <v>16</v>
      </c>
      <c r="B22" s="13" t="s">
        <v>26</v>
      </c>
      <c r="C22" s="59" t="e" vm="1">
        <v>#VALUE!</v>
      </c>
      <c r="D22" s="58" t="s">
        <v>13</v>
      </c>
      <c r="E22" s="9">
        <v>1</v>
      </c>
      <c r="F22" s="22">
        <v>18300</v>
      </c>
      <c r="G22" s="10">
        <f t="shared" si="0"/>
        <v>1830</v>
      </c>
      <c r="H22" s="10">
        <f t="shared" si="1"/>
        <v>20130</v>
      </c>
      <c r="I22" s="7"/>
      <c r="J22" s="7"/>
    </row>
    <row r="23" spans="1:10" ht="72" customHeight="1" x14ac:dyDescent="0.3">
      <c r="A23" s="50"/>
      <c r="B23" s="13" t="s">
        <v>27</v>
      </c>
      <c r="C23" s="59"/>
      <c r="D23" s="58"/>
      <c r="E23" s="9">
        <v>1</v>
      </c>
      <c r="F23" s="22">
        <v>25000</v>
      </c>
      <c r="G23" s="10">
        <f t="shared" si="0"/>
        <v>2500</v>
      </c>
      <c r="H23" s="10">
        <f t="shared" si="1"/>
        <v>27500</v>
      </c>
      <c r="I23" s="7"/>
      <c r="J23" s="7"/>
    </row>
    <row r="24" spans="1:10" ht="72" customHeight="1" x14ac:dyDescent="0.3">
      <c r="A24" s="16">
        <v>17</v>
      </c>
      <c r="B24" s="14" t="s">
        <v>28</v>
      </c>
      <c r="C24" s="8"/>
      <c r="D24" s="9" t="s">
        <v>13</v>
      </c>
      <c r="E24" s="9">
        <v>1</v>
      </c>
      <c r="F24" s="22">
        <v>1200</v>
      </c>
      <c r="G24" s="10">
        <f t="shared" si="0"/>
        <v>120</v>
      </c>
      <c r="H24" s="10">
        <f t="shared" si="1"/>
        <v>1320</v>
      </c>
      <c r="I24" s="7"/>
      <c r="J24" s="7"/>
    </row>
    <row r="25" spans="1:10" ht="111" customHeight="1" x14ac:dyDescent="0.3">
      <c r="A25" s="16">
        <v>18</v>
      </c>
      <c r="B25" s="14" t="s">
        <v>29</v>
      </c>
      <c r="C25" s="8"/>
      <c r="D25" s="9" t="s">
        <v>13</v>
      </c>
      <c r="E25" s="9">
        <v>1</v>
      </c>
      <c r="F25" s="22">
        <v>1200</v>
      </c>
      <c r="G25" s="10">
        <f t="shared" si="0"/>
        <v>120</v>
      </c>
      <c r="H25" s="10">
        <f t="shared" si="1"/>
        <v>1320</v>
      </c>
      <c r="I25" s="7"/>
      <c r="J25" s="7"/>
    </row>
    <row r="26" spans="1:10" ht="36" customHeight="1" x14ac:dyDescent="0.3">
      <c r="A26" s="50">
        <v>19</v>
      </c>
      <c r="B26" s="14" t="s">
        <v>30</v>
      </c>
      <c r="C26" s="51"/>
      <c r="D26" s="9" t="s">
        <v>13</v>
      </c>
      <c r="E26" s="9">
        <v>1</v>
      </c>
      <c r="F26" s="22">
        <v>1200</v>
      </c>
      <c r="G26" s="10">
        <f t="shared" si="0"/>
        <v>120</v>
      </c>
      <c r="H26" s="10">
        <f t="shared" si="1"/>
        <v>1320</v>
      </c>
      <c r="I26" s="7"/>
      <c r="J26" s="7"/>
    </row>
    <row r="27" spans="1:10" ht="36" customHeight="1" x14ac:dyDescent="0.3">
      <c r="A27" s="50"/>
      <c r="B27" s="14" t="s">
        <v>31</v>
      </c>
      <c r="C27" s="51"/>
      <c r="D27" s="9" t="s">
        <v>13</v>
      </c>
      <c r="E27" s="9">
        <v>1</v>
      </c>
      <c r="F27" s="22">
        <v>1400</v>
      </c>
      <c r="G27" s="10">
        <f t="shared" si="0"/>
        <v>140</v>
      </c>
      <c r="H27" s="10">
        <f t="shared" si="1"/>
        <v>1540</v>
      </c>
      <c r="I27" s="7"/>
      <c r="J27" s="7"/>
    </row>
    <row r="28" spans="1:10" ht="36" customHeight="1" x14ac:dyDescent="0.3">
      <c r="A28" s="50"/>
      <c r="B28" s="14" t="s">
        <v>32</v>
      </c>
      <c r="C28" s="51"/>
      <c r="D28" s="9" t="s">
        <v>13</v>
      </c>
      <c r="E28" s="9">
        <v>1</v>
      </c>
      <c r="F28" s="22">
        <v>1700</v>
      </c>
      <c r="G28" s="10">
        <f t="shared" si="0"/>
        <v>170</v>
      </c>
      <c r="H28" s="10">
        <f t="shared" si="1"/>
        <v>1870</v>
      </c>
      <c r="I28" s="7"/>
      <c r="J28" s="7"/>
    </row>
    <row r="29" spans="1:10" ht="36" customHeight="1" x14ac:dyDescent="0.3">
      <c r="A29" s="50"/>
      <c r="B29" s="14" t="s">
        <v>33</v>
      </c>
      <c r="C29" s="51"/>
      <c r="D29" s="9" t="s">
        <v>13</v>
      </c>
      <c r="E29" s="9">
        <v>1</v>
      </c>
      <c r="F29" s="22">
        <v>2000</v>
      </c>
      <c r="G29" s="10">
        <f t="shared" si="0"/>
        <v>200</v>
      </c>
      <c r="H29" s="10">
        <f t="shared" si="1"/>
        <v>2200</v>
      </c>
      <c r="I29" s="7"/>
      <c r="J29" s="7"/>
    </row>
    <row r="30" spans="1:10" ht="27" customHeight="1" x14ac:dyDescent="0.3"/>
    <row r="31" spans="1:10" ht="33.65" customHeight="1" x14ac:dyDescent="0.3">
      <c r="A31" s="2" t="s">
        <v>34</v>
      </c>
      <c r="B31" s="47" t="s">
        <v>35</v>
      </c>
      <c r="C31" s="47"/>
      <c r="D31" s="47"/>
      <c r="E31" s="47"/>
      <c r="F31" s="47"/>
      <c r="G31" s="47"/>
      <c r="H31" s="47"/>
    </row>
    <row r="32" spans="1:10" ht="32.4" customHeight="1" x14ac:dyDescent="0.3">
      <c r="A32" s="3" t="s">
        <v>36</v>
      </c>
      <c r="B32" s="4" t="s">
        <v>37</v>
      </c>
      <c r="C32" s="48" t="s">
        <v>67</v>
      </c>
      <c r="D32" s="48"/>
      <c r="E32" s="48"/>
      <c r="F32" s="48"/>
      <c r="G32" s="48"/>
      <c r="H32" s="48"/>
    </row>
    <row r="33" spans="1:8" ht="32.4" customHeight="1" x14ac:dyDescent="0.3">
      <c r="A33" s="3" t="s">
        <v>38</v>
      </c>
      <c r="B33" s="4" t="s">
        <v>39</v>
      </c>
      <c r="C33" s="48" t="s">
        <v>40</v>
      </c>
      <c r="D33" s="48"/>
      <c r="E33" s="48"/>
      <c r="F33" s="48"/>
      <c r="G33" s="48"/>
      <c r="H33" s="48"/>
    </row>
    <row r="34" spans="1:8" ht="32.4" customHeight="1" x14ac:dyDescent="0.3">
      <c r="A34" s="3" t="s">
        <v>41</v>
      </c>
      <c r="B34" s="4" t="s">
        <v>42</v>
      </c>
      <c r="C34" s="48" t="s">
        <v>40</v>
      </c>
      <c r="D34" s="48"/>
      <c r="E34" s="48"/>
      <c r="F34" s="48"/>
      <c r="G34" s="48"/>
      <c r="H34" s="48"/>
    </row>
    <row r="35" spans="1:8" ht="32.4" customHeight="1" x14ac:dyDescent="0.3">
      <c r="A35" s="3">
        <v>4</v>
      </c>
      <c r="B35" s="4" t="s">
        <v>43</v>
      </c>
      <c r="C35" s="48" t="s">
        <v>44</v>
      </c>
      <c r="D35" s="48"/>
      <c r="E35" s="48"/>
      <c r="F35" s="48"/>
      <c r="G35" s="48"/>
      <c r="H35" s="48"/>
    </row>
    <row r="36" spans="1:8" ht="32.4" customHeight="1" x14ac:dyDescent="0.3">
      <c r="A36" s="3" t="s">
        <v>45</v>
      </c>
      <c r="B36" s="4" t="s">
        <v>46</v>
      </c>
      <c r="C36" s="48" t="s">
        <v>47</v>
      </c>
      <c r="D36" s="48"/>
      <c r="E36" s="48"/>
      <c r="F36" s="48"/>
      <c r="G36" s="48"/>
      <c r="H36" s="48"/>
    </row>
    <row r="37" spans="1:8" ht="32.4" customHeight="1" x14ac:dyDescent="0.3">
      <c r="A37" s="3" t="s">
        <v>48</v>
      </c>
      <c r="B37" s="4" t="s">
        <v>49</v>
      </c>
      <c r="C37" s="5" t="s">
        <v>50</v>
      </c>
      <c r="D37" s="49" t="s">
        <v>51</v>
      </c>
      <c r="E37" s="49"/>
      <c r="F37" s="49"/>
      <c r="G37" s="49"/>
      <c r="H37" s="49"/>
    </row>
    <row r="38" spans="1:8" ht="48.65" customHeight="1" x14ac:dyDescent="0.3">
      <c r="A38" s="3"/>
      <c r="B38" s="4"/>
      <c r="C38" s="5" t="s">
        <v>52</v>
      </c>
      <c r="D38" s="49" t="s">
        <v>53</v>
      </c>
      <c r="E38" s="49"/>
      <c r="F38" s="49"/>
      <c r="G38" s="49"/>
      <c r="H38" s="49"/>
    </row>
    <row r="39" spans="1:8" ht="48.65" customHeight="1" x14ac:dyDescent="0.3">
      <c r="A39" s="3"/>
      <c r="B39" s="4"/>
      <c r="C39" s="5" t="s">
        <v>54</v>
      </c>
      <c r="D39" s="49" t="s">
        <v>55</v>
      </c>
      <c r="E39" s="49"/>
      <c r="F39" s="49"/>
      <c r="G39" s="49"/>
      <c r="H39" s="49"/>
    </row>
    <row r="40" spans="1:8" ht="48.65" customHeight="1" x14ac:dyDescent="0.3">
      <c r="A40" s="3"/>
      <c r="B40" s="4"/>
      <c r="C40" s="5" t="s">
        <v>56</v>
      </c>
      <c r="D40" s="49" t="s">
        <v>57</v>
      </c>
      <c r="E40" s="49"/>
      <c r="F40" s="49"/>
      <c r="G40" s="49"/>
      <c r="H40" s="49"/>
    </row>
    <row r="41" spans="1:8" ht="26.4" customHeight="1" x14ac:dyDescent="0.3">
      <c r="A41" s="3" t="s">
        <v>58</v>
      </c>
      <c r="B41" s="4" t="s">
        <v>59</v>
      </c>
      <c r="C41" s="48" t="s">
        <v>60</v>
      </c>
      <c r="D41" s="48"/>
      <c r="E41" s="48"/>
      <c r="F41" s="48"/>
      <c r="G41" s="48"/>
      <c r="H41" s="48"/>
    </row>
    <row r="42" spans="1:8" ht="50.4" customHeight="1" x14ac:dyDescent="0.3">
      <c r="A42" s="6" t="s">
        <v>61</v>
      </c>
      <c r="B42" s="6"/>
      <c r="C42" s="6"/>
      <c r="D42" s="46" t="s">
        <v>62</v>
      </c>
      <c r="E42" s="46"/>
      <c r="F42" s="46"/>
      <c r="G42" s="46"/>
      <c r="H42" s="46"/>
    </row>
  </sheetData>
  <mergeCells count="26">
    <mergeCell ref="A26:A29"/>
    <mergeCell ref="C26:C29"/>
    <mergeCell ref="A1:B1"/>
    <mergeCell ref="C1:H1"/>
    <mergeCell ref="A3:H3"/>
    <mergeCell ref="A4:H4"/>
    <mergeCell ref="A11:A12"/>
    <mergeCell ref="C11:C12"/>
    <mergeCell ref="D11:D12"/>
    <mergeCell ref="C15:C16"/>
    <mergeCell ref="D15:D16"/>
    <mergeCell ref="A22:A23"/>
    <mergeCell ref="C22:C23"/>
    <mergeCell ref="D22:D23"/>
    <mergeCell ref="D42:H42"/>
    <mergeCell ref="B31:H31"/>
    <mergeCell ref="C32:H32"/>
    <mergeCell ref="C33:H33"/>
    <mergeCell ref="C34:H34"/>
    <mergeCell ref="C35:H35"/>
    <mergeCell ref="C36:H36"/>
    <mergeCell ref="D37:H37"/>
    <mergeCell ref="D38:H38"/>
    <mergeCell ref="D39:H39"/>
    <mergeCell ref="D40:H40"/>
    <mergeCell ref="C41:H41"/>
  </mergeCells>
  <phoneticPr fontId="1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Báo giá gốc</vt:lpstr>
      <vt:lpstr>Báo giá dự án &gt;1MWP</vt:lpstr>
      <vt:lpstr>Báo giá tổng EPC</vt:lpstr>
      <vt:lpstr>Báo giá bán lẻ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Thủy Lê Thị</dc:creator>
  <cp:lastModifiedBy>NguyenVanDat</cp:lastModifiedBy>
  <cp:lastPrinted>2025-04-14T10:15:45Z</cp:lastPrinted>
  <dcterms:created xsi:type="dcterms:W3CDTF">2015-06-05T18:19:34Z</dcterms:created>
  <dcterms:modified xsi:type="dcterms:W3CDTF">2025-05-17T11:53:42Z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2025-04-14T05:03:57Z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416ff410-84d9-4adf-8b4d-a7ad5cc28fb0</vt:lpwstr>
  </property>
  <property fmtid="{D5CDD505-2E9C-101B-9397-08002B2CF9AE}" pid="7" name="MSIP_Label_defa4170-0d19-0005-0004-bc88714345d2_ActionId">
    <vt:lpwstr>dcf8a265-cce7-4da4-bb98-b9853f901f80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