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II. TÀI LIỆU GIÁ_ THỊ TRƯỜNG ÁP MÁI NHÀ DÂN\9. NCC NHÔM\3. Nhôm QUANG MINH\I. DỰ ÁN CHUNG\"/>
    </mc:Choice>
  </mc:AlternateContent>
  <xr:revisionPtr revIDLastSave="0" documentId="13_ncr:1_{B7058AC8-F685-4929-86F2-F43F3750B0FC}" xr6:coauthVersionLast="47" xr6:coauthVersionMax="47" xr10:uidLastSave="{00000000-0000-0000-0000-000000000000}"/>
  <bookViews>
    <workbookView xWindow="-110" yWindow="-110" windowWidth="19420" windowHeight="10300" xr2:uid="{00000000-000D-0000-FFFF-FFFF00000000}"/>
  </bookViews>
  <sheets>
    <sheet name="Table 1" sheetId="1" r:id="rId1"/>
  </sheets>
  <definedNames>
    <definedName name="_xlnm.Print_Area" localSheetId="0">'Table 1'!$A$1:$G$42</definedName>
    <definedName name="_xlnm.Print_Titles" localSheetId="0">'Table 1'!$5:$5</definedName>
  </definedNames>
  <calcPr calcId="191029" iterateDelta="1E-4"/>
</workbook>
</file>

<file path=xl/calcChain.xml><?xml version="1.0" encoding="utf-8"?>
<calcChain xmlns="http://schemas.openxmlformats.org/spreadsheetml/2006/main">
  <c r="G7" i="1" l="1"/>
  <c r="G8" i="1"/>
  <c r="G9" i="1"/>
  <c r="G10" i="1"/>
  <c r="G11" i="1"/>
  <c r="G12" i="1"/>
  <c r="G13" i="1"/>
  <c r="G14" i="1"/>
  <c r="G15" i="1"/>
  <c r="G16" i="1"/>
  <c r="G17" i="1"/>
  <c r="G18" i="1"/>
  <c r="G19" i="1"/>
  <c r="G20" i="1"/>
  <c r="G21" i="1"/>
  <c r="G22" i="1"/>
  <c r="G23" i="1"/>
  <c r="G24" i="1"/>
  <c r="G25" i="1"/>
  <c r="G26" i="1"/>
  <c r="G27" i="1"/>
  <c r="G28" i="1"/>
  <c r="G29" i="1"/>
  <c r="G6" i="1"/>
  <c r="G2" i="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9">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future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<sst xmlns="http://schemas.openxmlformats.org/spreadsheetml/2006/main" count="87" uniqueCount="68">
  <si>
    <r>
      <rPr>
        <sz val="12"/>
        <rFont val="Times New Roman"/>
        <family val="1"/>
      </rPr>
      <t>M</t>
    </r>
  </si>
  <si>
    <r>
      <rPr>
        <sz val="12"/>
        <rFont val="Times New Roman"/>
        <family val="1"/>
      </rPr>
      <t>Cái</t>
    </r>
  </si>
  <si>
    <r>
      <rPr>
        <sz val="12"/>
        <rFont val="Times New Roman"/>
        <family val="1"/>
      </rPr>
      <t>Bộ</t>
    </r>
  </si>
  <si>
    <t>II.</t>
  </si>
  <si>
    <t>Nội dung đính kèm bảng giá</t>
  </si>
  <si>
    <t>1.</t>
  </si>
  <si>
    <t>Đơn giá:</t>
  </si>
  <si>
    <t>Đơn giá chưa gồm VAT 10%</t>
  </si>
  <si>
    <t>2.</t>
  </si>
  <si>
    <t>Địa điểm giao nhận:</t>
  </si>
  <si>
    <t xml:space="preserve">3. </t>
  </si>
  <si>
    <t>Tiến độ giao hàng:</t>
  </si>
  <si>
    <t>Chất lượng hàng hóa:</t>
  </si>
  <si>
    <t>Hàng mới 100%; bề mặt nhôm Anode từ 8-12 µm</t>
  </si>
  <si>
    <t>5.</t>
  </si>
  <si>
    <t>Bảo hành:</t>
  </si>
  <si>
    <t>15 năm đối với bề mặt Anode; 12 năm đối với kết cấu</t>
  </si>
  <si>
    <t>6.</t>
  </si>
  <si>
    <t>Thanh toán:</t>
  </si>
  <si>
    <t xml:space="preserve">6.1. Đặt cọc: </t>
  </si>
  <si>
    <t>6.2. Thanh toán tiến độ:</t>
  </si>
  <si>
    <t>Thanh toán đến 90% giá trị đơn hàng ngay khi hai bên tiến hành giao nhận</t>
  </si>
  <si>
    <t>6.3. Quyết toán:</t>
  </si>
  <si>
    <t>Thanh toán hết 100% giá trị đơn hàng sau tối đa 10 ngày kể từ ngày bàn giao đầy đủ hàng hóa và chứng từ thanh toán theo quy định của hợp đồng mua bán giữa hai bên</t>
  </si>
  <si>
    <t>6.4. STK Thụ hưởng:</t>
  </si>
  <si>
    <t>7.</t>
  </si>
  <si>
    <t>Hiệu lực báo giá:</t>
  </si>
  <si>
    <t>15 ngày</t>
  </si>
  <si>
    <t xml:space="preserve"> </t>
  </si>
  <si>
    <t>CÔNG TY CP KỸ THUẬT CÔNG NGHỆ 
QUANG MINH</t>
  </si>
  <si>
    <t>20% giá trị đơn hàng hoặc thỏa thuận chi tiết;</t>
  </si>
  <si>
    <t>Thỏa thuận chi tiết</t>
  </si>
  <si>
    <t>Số lượng</t>
  </si>
  <si>
    <t>Thành tiền chưa VAT 
(VNĐ)</t>
  </si>
  <si>
    <t>Đơn giá chưa VAT 
(VNĐ)</t>
  </si>
  <si>
    <t>Tên và Quy cách</t>
  </si>
  <si>
    <t>Hình ảnh minh họa</t>
  </si>
  <si>
    <t>ĐVT</t>
  </si>
  <si>
    <r>
      <rPr>
        <b/>
        <sz val="12"/>
        <rFont val="Times New Roman"/>
        <family val="1"/>
      </rPr>
      <t>Thanh ray nhôm ( Rail )</t>
    </r>
    <r>
      <rPr>
        <sz val="12"/>
        <rFont val="Times New Roman"/>
        <family val="1"/>
      </rPr>
      <t xml:space="preserve">
- Kích thước : 26x52mm
- Tỷ trọng : 0.63 (+-5%)
- Mác nhôm 6005 - T5/T6</t>
    </r>
  </si>
  <si>
    <r>
      <rPr>
        <b/>
        <sz val="12"/>
        <rFont val="Times New Roman"/>
        <family val="1"/>
      </rPr>
      <t>Thanh ray nhôm ( Rail )</t>
    </r>
    <r>
      <rPr>
        <sz val="12"/>
        <rFont val="Times New Roman"/>
        <family val="1"/>
      </rPr>
      <t xml:space="preserve">
- Kích thước : 26x50mm
- Tỷ trọng : 0.62 (+-5%)
- Mác nhôm 6005 - T5,T6</t>
    </r>
  </si>
  <si>
    <r>
      <rPr>
        <b/>
        <sz val="12"/>
        <rFont val="Times New Roman"/>
        <family val="1"/>
      </rPr>
      <t>Thanh ray nhôm ( Rail )</t>
    </r>
    <r>
      <rPr>
        <sz val="12"/>
        <rFont val="Times New Roman"/>
        <family val="1"/>
      </rPr>
      <t xml:space="preserve">
- Kích thước : 26x50mm
- Tỷ trọng : 0.60 (+-5%)
- Mác nhôm 6005 - T5,T6</t>
    </r>
  </si>
  <si>
    <r>
      <rPr>
        <b/>
        <sz val="12"/>
        <rFont val="Times New Roman"/>
        <family val="1"/>
      </rPr>
      <t>Thanh ray nhôm ( Rail )</t>
    </r>
    <r>
      <rPr>
        <sz val="12"/>
        <rFont val="Times New Roman"/>
        <family val="1"/>
      </rPr>
      <t xml:space="preserve">
- Kích thước : 26x45mm
- Tỷ trọng : 0.54 (+-5%)
- Mác nhôm 6005 - T5,T6</t>
    </r>
  </si>
  <si>
    <r>
      <rPr>
        <b/>
        <sz val="12"/>
        <rFont val="Times New Roman"/>
        <family val="1"/>
      </rPr>
      <t>Mini rail dài 200mm T2.7</t>
    </r>
    <r>
      <rPr>
        <sz val="12"/>
        <rFont val="Times New Roman"/>
        <family val="1"/>
      </rPr>
      <t xml:space="preserve">
- Kích thước 40x45</t>
    </r>
  </si>
  <si>
    <r>
      <rPr>
        <b/>
        <sz val="12"/>
        <rFont val="Times New Roman"/>
        <family val="1"/>
      </rPr>
      <t>Mini rail dài 200mm T1.7</t>
    </r>
    <r>
      <rPr>
        <sz val="12"/>
        <rFont val="Times New Roman"/>
        <family val="1"/>
      </rPr>
      <t xml:space="preserve">
- Kích thước 32x40</t>
    </r>
  </si>
  <si>
    <r>
      <rPr>
        <b/>
        <sz val="12"/>
        <rFont val="Times New Roman"/>
        <family val="1"/>
      </rPr>
      <t>Mini rail dài 200mm T1.3</t>
    </r>
    <r>
      <rPr>
        <sz val="12"/>
        <rFont val="Times New Roman"/>
        <family val="1"/>
      </rPr>
      <t xml:space="preserve">
- Kích thước 32x40</t>
    </r>
  </si>
  <si>
    <r>
      <rPr>
        <b/>
        <sz val="12"/>
        <rFont val="Times New Roman"/>
        <family val="1"/>
      </rPr>
      <t>Thanh nối Rail dài 140mm</t>
    </r>
    <r>
      <rPr>
        <sz val="12"/>
        <rFont val="Times New Roman"/>
        <family val="1"/>
      </rPr>
      <t xml:space="preserve">
- Kích thước : 140x21.5mm
- Bao gồm: 2 bulong M8x20 , đệm
vênh</t>
    </r>
  </si>
  <si>
    <r>
      <rPr>
        <b/>
        <sz val="12"/>
        <rFont val="Times New Roman"/>
        <family val="1"/>
      </rPr>
      <t>Kẹp Giữa</t>
    </r>
    <r>
      <rPr>
        <sz val="12"/>
        <rFont val="Times New Roman"/>
        <family val="1"/>
      </rPr>
      <t xml:space="preserve">
- Kích thước :40x40mm
- Bao gồm: Bulong M8x40 ,đệm
vênh , con chạy</t>
    </r>
  </si>
  <si>
    <r>
      <rPr>
        <b/>
        <sz val="12"/>
        <rFont val="Times New Roman"/>
        <family val="1"/>
      </rPr>
      <t>Chân L 6.0mm</t>
    </r>
    <r>
      <rPr>
        <sz val="12"/>
        <rFont val="Times New Roman"/>
        <family val="1"/>
      </rPr>
      <t xml:space="preserve">
- Kích thước : 85x40mm
-  Bao gồm Bulong M8x25, con
chạy, vít bắn tôn, đệm.</t>
    </r>
  </si>
  <si>
    <r>
      <rPr>
        <b/>
        <sz val="12"/>
        <rFont val="Times New Roman"/>
        <family val="1"/>
      </rPr>
      <t>Kẹp Cliplook theo sóng tôn</t>
    </r>
    <r>
      <rPr>
        <sz val="12"/>
        <rFont val="Times New Roman"/>
        <family val="1"/>
      </rPr>
      <t xml:space="preserve">
- Kích thước 55mm
- 02 Bulong M8x25 bao gồm ecu và đệm  Inox 304</t>
    </r>
  </si>
  <si>
    <r>
      <rPr>
        <b/>
        <sz val="12"/>
        <rFont val="Times New Roman"/>
        <family val="1"/>
      </rPr>
      <t>Kẹp Biên 30 - 35- 40</t>
    </r>
    <r>
      <rPr>
        <sz val="12"/>
        <rFont val="Times New Roman"/>
        <family val="1"/>
      </rPr>
      <t xml:space="preserve">
- Kích thước: 40x40mm
-Bao gồm Bulong M8x25, đệm vênh, con chạy</t>
    </r>
  </si>
  <si>
    <r>
      <rPr>
        <b/>
        <sz val="12"/>
        <rFont val="Times New Roman"/>
        <family val="1"/>
      </rPr>
      <t>Chân L8.0mm</t>
    </r>
    <r>
      <rPr>
        <sz val="12"/>
        <rFont val="Times New Roman"/>
        <family val="1"/>
      </rPr>
      <t xml:space="preserve">
- Kích thước : 120x40mm
- Bao gồm Bulong M8x25, con
chạy, Vít bắn tôn, đệm.</t>
    </r>
  </si>
  <si>
    <r>
      <rPr>
        <b/>
        <sz val="12"/>
        <rFont val="Times New Roman"/>
        <family val="1"/>
      </rPr>
      <t>Kẹp Seamlook theo sóng tôn</t>
    </r>
    <r>
      <rPr>
        <sz val="12"/>
        <rFont val="Times New Roman"/>
        <family val="1"/>
      </rPr>
      <t xml:space="preserve">
- Kích thước 55mm
- 02 Bulong M8x25 bao gồm ecu và đệm  Inox 304</t>
    </r>
  </si>
  <si>
    <r>
      <rPr>
        <b/>
        <sz val="12"/>
        <rFont val="Times New Roman"/>
        <family val="1"/>
      </rPr>
      <t>Chụp sóng tôn vuông 22-25</t>
    </r>
    <r>
      <rPr>
        <sz val="12"/>
        <rFont val="Times New Roman"/>
        <family val="1"/>
      </rPr>
      <t xml:space="preserve">
- 01 Vit bắn tôn Inox 410 M5.5x75
- Đệm cao su</t>
    </r>
  </si>
  <si>
    <r>
      <rPr>
        <b/>
        <sz val="12"/>
        <rFont val="Times New Roman"/>
        <family val="1"/>
      </rPr>
      <t>Kẹp Tiếp Địa</t>
    </r>
    <r>
      <rPr>
        <sz val="12"/>
        <rFont val="Times New Roman"/>
        <family val="1"/>
      </rPr>
      <t xml:space="preserve">
- 01 Bulong M8x25 , đệm vênh
- 01 Con trượt
- 01 Blong M6x16
- 01 Lá tiếp địa</t>
    </r>
  </si>
  <si>
    <r>
      <rPr>
        <b/>
        <sz val="12"/>
        <rFont val="Times New Roman"/>
        <family val="1"/>
      </rPr>
      <t>Pát Z mạ kẽm nhúng nóng</t>
    </r>
    <r>
      <rPr>
        <sz val="12"/>
        <rFont val="Times New Roman"/>
        <family val="1"/>
      </rPr>
      <t xml:space="preserve">
- Kích thước 200x100x2mm</t>
    </r>
  </si>
  <si>
    <r>
      <rPr>
        <b/>
        <sz val="12"/>
        <rFont val="Times New Roman"/>
        <family val="1"/>
      </rPr>
      <t>Pát Z mạ kẽm nhúng nóng</t>
    </r>
    <r>
      <rPr>
        <sz val="12"/>
        <rFont val="Times New Roman"/>
        <family val="1"/>
      </rPr>
      <t xml:space="preserve">
- Kích thước 300x100x2mm</t>
    </r>
  </si>
  <si>
    <t>Kẹp dây điện</t>
  </si>
  <si>
    <t>Lá Tiếp Địa</t>
  </si>
  <si>
    <t>Bulong M8x20</t>
  </si>
  <si>
    <t>Bulong M8x25</t>
  </si>
  <si>
    <t>Bulong  M8x40</t>
  </si>
  <si>
    <t>Bulong  M8x50</t>
  </si>
  <si>
    <t>BẢNG GIÁ PHỤ KIỆN SOLAR</t>
  </si>
  <si>
    <r>
      <rPr>
        <b/>
        <sz val="12"/>
        <rFont val="Times New Roman"/>
        <family val="1"/>
      </rPr>
      <t>Kính Gửi : Quý Nhà Phân Phối
C</t>
    </r>
    <r>
      <rPr>
        <i/>
        <sz val="12"/>
        <rFont val="Times New Roman"/>
        <family val="1"/>
      </rPr>
      <t>ông ty cổ phần kỹ thuật và công nghệ Quang Minh xin gửi tới Quý khách hàng lời chào trân trọng và hợp tác . Cám ơn Quý khách hàng đã ủng hộ sản phẩm của chúng tôi trong thời gian vừa qua. Chúng tôi xin gửi tới Quý khách hàng bảng thông báo giá nội dung cụ thể như sau :</t>
    </r>
  </si>
  <si>
    <t>Đông Anh</t>
  </si>
  <si>
    <r>
      <rPr>
        <b/>
        <sz val="12"/>
        <color theme="1"/>
        <rFont val="Times New Roman"/>
        <family val="1"/>
      </rPr>
      <t>Công ty CP Kỹ thuật Công nghệ Quang Minh</t>
    </r>
    <r>
      <rPr>
        <sz val="12"/>
        <color theme="1"/>
        <rFont val="Times New Roman"/>
        <family val="1"/>
      </rPr>
      <t xml:space="preserve">
Số TK: 0311100849009
Ngân hàng TMCP MB bank - CN Đông Anh.</t>
    </r>
  </si>
  <si>
    <r>
      <rPr>
        <b/>
        <sz val="12"/>
        <color rgb="FF000000"/>
        <rFont val="Times New Roman"/>
        <family val="1"/>
      </rPr>
      <t>CÔNG TY CP KỸ THUẬT CÔNG NGHỆ QUANG MINH</t>
    </r>
    <r>
      <rPr>
        <sz val="12"/>
        <color rgb="FF000000"/>
        <rFont val="Times New Roman"/>
        <family val="1"/>
      </rPr>
      <t xml:space="preserve">
Địa Chỉ : Số 51 Tổ 4 , TT Đông Anh , H Đông Anh , TP Hà Nội 
Nhà Máy : Lô CN09 KCN Nguyên Khê - Đông Anh - Hà Nội 
MST : 0106124982 
Email : tuyenft@gmail.com
Hotline: 0979 308 945</t>
    </r>
  </si>
  <si>
    <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</si>
</sst>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6"/>
      <name val="Times New Roman"/>
      <family val="1"/>
    </font>
    <font>
      <b/>
      <sz val="12"/>
      <name val="Times New Roman"/>
      <family val="1"/>
    </font>
    <font>
      <sz val="12"/>
      <color rgb="FF000000"/>
      <name val="Times New Roman"/>
      <family val="2"/>
    </font>
    <font>
      <sz val="12"/>
      <name val="Times New Roman"/>
      <family val="1"/>
    </font>
    <font>
      <i/>
      <sz val="12"/>
      <name val="Times New Roman"/>
      <family val="1"/>
    </font>
    <font>
      <sz val="10"/>
      <color rgb="FF000000"/>
      <name val="Times New Roman"/>
      <family val="1"/>
    </font>
    <font>
      <sz val="10"/>
      <color theme="1"/>
      <name val="Times New Roman"/>
      <family val="1"/>
    </font>
    <font>
      <sz val="12"/>
      <color rgb="FF000000"/>
      <name val="Times New Roman"/>
      <family val="1"/>
    </font>
    <font>
      <b/>
      <sz val="12"/>
      <color rgb="FF000000"/>
      <name val="Times New Roman"/>
      <family val="1"/>
    </font>
    <font>
      <b/>
      <i/>
      <sz val="12"/>
      <color rgb="FF000000"/>
      <name val="Times New Roman"/>
      <family val="1"/>
    </font>
    <font>
      <b/>
      <sz val="12"/>
      <color theme="1"/>
      <name val="Times New Roman"/>
      <family val="1"/>
    </font>
    <font>
      <sz val="12"/>
      <color theme="1"/>
      <name val="Times New Roman"/>
      <family val="1"/>
    </font>
    <font>
      <b/>
      <sz val="14"/>
      <color theme="1"/>
      <name val="Times New Roman"/>
      <family val="1"/>
    </font>
    <font>
      <sz val="9"/>
      <name val="宋体"/>
      <family val="3"/>
      <charset val="134"/>
    </font>
  </fonts>
  <fills count="3">
    <fill>
      <patternFill patternType="none"/>
    </fill>
    <fill>
      <patternFill patternType="gray125"/>
    </fill>
    <fill>
      <patternFill patternType="solid">
        <fgColor rgb="FF91CCDB"/>
      </patternFill>
    </fill>
  </fills>
  <borders count="10">
    <border>
      <left/>
      <right/>
      <top/>
      <bottom/>
      <diagonal/>
    </border>
    <border>
      <left/>
      <right/>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70C0"/>
      </left>
      <right style="thin">
        <color theme="1"/>
      </right>
      <top style="thin">
        <color rgb="FF0070C0"/>
      </top>
      <bottom style="thin">
        <color rgb="FF0070C0"/>
      </bottom>
      <diagonal/>
    </border>
    <border>
      <left style="thin">
        <color theme="1"/>
      </left>
      <right style="thin">
        <color theme="1"/>
      </right>
      <top style="thin">
        <color rgb="FF0070C0"/>
      </top>
      <bottom style="thin">
        <color rgb="FF0070C0"/>
      </bottom>
      <diagonal/>
    </border>
    <border>
      <left style="thin">
        <color theme="1"/>
      </left>
      <right style="thin">
        <color rgb="FF0070C0"/>
      </right>
      <top style="thin">
        <color rgb="FF0070C0"/>
      </top>
      <bottom style="thin">
        <color rgb="FF0070C0"/>
      </bottom>
      <diagonal/>
    </border>
    <border>
      <left/>
      <right/>
      <top style="thin">
        <color auto="1"/>
      </top>
      <bottom/>
      <diagonal/>
    </border>
  </borders>
  <cellStyleXfs count="1">
    <xf numFmtId="0" fontId="0" fillId="0" borderId="0"/>
  </cellStyleXfs>
  <cellXfs count="42">
    <xf numFmtId="0" fontId="0" fillId="0" borderId="0" xfId="0" applyAlignment="1">
      <alignment horizontal="left" vertical="top"/>
    </xf>
    <xf numFmtId="0" fontId="7" fillId="0" borderId="0" xfId="0" quotePrefix="1" applyFont="1"/>
    <xf numFmtId="0" fontId="0" fillId="0" borderId="0" xfId="0" applyAlignment="1">
      <alignment horizontal="center" vertical="top"/>
    </xf>
    <xf numFmtId="0" fontId="6" fillId="0" borderId="0" xfId="0" applyFont="1" applyAlignment="1">
      <alignment horizontal="center" vertical="center" wrapText="1"/>
    </xf>
    <xf numFmtId="0" fontId="10" fillId="0" borderId="0" xfId="0" applyFont="1" applyAlignment="1">
      <alignment horizontal="righ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1" fontId="3" fillId="0" borderId="6" xfId="0" applyNumberFormat="1" applyFont="1" applyBorder="1" applyAlignment="1">
      <alignment horizontal="center" vertical="center" shrinkToFit="1"/>
    </xf>
    <xf numFmtId="0" fontId="4" fillId="0" borderId="7" xfId="0" applyFont="1" applyBorder="1" applyAlignment="1">
      <alignment horizontal="left" vertical="center" wrapText="1"/>
    </xf>
    <xf numFmtId="0" fontId="4" fillId="0" borderId="7" xfId="0" applyFont="1" applyBorder="1" applyAlignment="1">
      <alignment horizontal="center" vertical="center" wrapText="1"/>
    </xf>
    <xf numFmtId="3" fontId="3" fillId="0" borderId="7" xfId="0" applyNumberFormat="1" applyFont="1" applyBorder="1" applyAlignment="1">
      <alignment horizontal="right" vertical="center" shrinkToFit="1"/>
    </xf>
    <xf numFmtId="3" fontId="3" fillId="0" borderId="8" xfId="0" applyNumberFormat="1" applyFont="1" applyBorder="1" applyAlignment="1">
      <alignment horizontal="right" vertical="center" shrinkToFit="1"/>
    </xf>
    <xf numFmtId="0" fontId="0" fillId="0" borderId="7" xfId="0" applyBorder="1" applyAlignment="1">
      <alignment horizontal="center" vertical="center" wrapText="1"/>
    </xf>
    <xf numFmtId="0" fontId="2" fillId="0" borderId="7" xfId="0" applyFont="1"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11" fillId="0" borderId="3" xfId="0" applyFont="1" applyBorder="1" applyAlignment="1">
      <alignment horizontal="center" vertical="center"/>
    </xf>
    <xf numFmtId="0" fontId="11" fillId="0" borderId="3" xfId="0" applyFont="1" applyBorder="1" applyAlignment="1">
      <alignment horizontal="left" vertical="center"/>
    </xf>
    <xf numFmtId="0" fontId="12" fillId="0" borderId="3" xfId="0" applyFont="1" applyBorder="1" applyAlignment="1">
      <alignment horizontal="left" vertical="center"/>
    </xf>
    <xf numFmtId="0" fontId="4" fillId="0" borderId="7" xfId="0" applyFont="1" applyBorder="1" applyAlignment="1">
      <alignment horizontal="right" vertical="center" wrapText="1"/>
    </xf>
    <xf numFmtId="14" fontId="8" fillId="0" borderId="0" xfId="0" applyNumberFormat="1" applyFont="1" applyAlignment="1">
      <alignment horizontal="right" vertical="center" wrapText="1"/>
    </xf>
    <xf numFmtId="0" fontId="12" fillId="0" borderId="3" xfId="0" applyFont="1" applyBorder="1" applyAlignment="1">
      <alignment horizontal="center" vertical="center"/>
    </xf>
    <xf numFmtId="1" fontId="3" fillId="0" borderId="6" xfId="0" applyNumberFormat="1" applyFont="1" applyBorder="1" applyAlignment="1">
      <alignment horizontal="center" vertical="center" shrinkToFit="1"/>
    </xf>
    <xf numFmtId="0" fontId="0" fillId="0" borderId="7" xfId="0" applyBorder="1" applyAlignment="1">
      <alignment horizontal="left" vertical="center" wrapText="1"/>
    </xf>
    <xf numFmtId="0" fontId="4" fillId="0" borderId="7" xfId="0" applyFont="1" applyBorder="1" applyAlignment="1">
      <alignment horizontal="center" vertical="center" wrapText="1"/>
    </xf>
    <xf numFmtId="0" fontId="0" fillId="0" borderId="1" xfId="0" applyBorder="1" applyAlignment="1">
      <alignment horizontal="center" vertical="top"/>
    </xf>
    <xf numFmtId="1" fontId="3" fillId="0" borderId="6" xfId="0" applyNumberFormat="1" applyFont="1" applyBorder="1" applyAlignment="1">
      <alignment horizontal="left" vertical="center" shrinkToFit="1"/>
    </xf>
    <xf numFmtId="0" fontId="0" fillId="0" borderId="7" xfId="0" applyBorder="1" applyAlignment="1">
      <alignment horizontal="center" vertical="center" wrapText="1"/>
    </xf>
    <xf numFmtId="0" fontId="13" fillId="0" borderId="9" xfId="0" quotePrefix="1" applyFont="1" applyBorder="1" applyAlignment="1">
      <alignment horizontal="center" vertical="center" wrapText="1"/>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4" fillId="0" borderId="2" xfId="0" applyFont="1" applyBorder="1" applyAlignment="1">
      <alignment horizontal="left" vertical="center" wrapText="1"/>
    </xf>
    <xf numFmtId="0" fontId="0" fillId="0" borderId="0" xfId="0" applyAlignment="1">
      <alignment horizontal="lef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left" vertical="center" wrapText="1"/>
    </xf>
    <xf numFmtId="0" fontId="12" fillId="0" borderId="3" xfId="0" applyFont="1" applyBorder="1" applyAlignment="1">
      <alignment horizontal="left" vertical="center" wrapText="1"/>
    </xf>
    <xf numFmtId="0" fontId="11" fillId="0" borderId="4" xfId="0" applyFont="1" applyBorder="1" applyAlignment="1">
      <alignment horizontal="left" vertical="center"/>
    </xf>
    <xf numFmtId="0" fontId="11" fillId="0" borderId="5"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10" Type="http://schemas.microsoft.com/office/2017/06/relationships/rdRichValueTypes" Target="richData/rdRichValueTypes.xml"/><Relationship Id="rId4" Type="http://schemas.openxmlformats.org/officeDocument/2006/relationships/sharedStrings" Target="sharedStrings.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
  <rv s="0">
    <v>0</v>
    <v>5</v>
  </rv>
  <rv s="0">
    <v>1</v>
    <v>5</v>
  </rv>
  <rv s="0">
    <v>2</v>
    <v>5</v>
  </rv>
  <rv s="0">
    <v>3</v>
    <v>5</v>
  </rv>
  <rv s="0">
    <v>4</v>
    <v>5</v>
  </rv>
  <rv s="0">
    <v>5</v>
    <v>5</v>
  </rv>
  <rv s="0">
    <v>6</v>
    <v>5</v>
  </rv>
  <rv s="0">
    <v>7</v>
    <v>5</v>
  </rv>
  <rv s="0">
    <v>8</v>
    <v>5</v>
  </rv>
  <rv s="0">
    <v>9</v>
    <v>5</v>
  </rv>
  <rv s="0">
    <v>10</v>
    <v>5</v>
  </rv>
  <rv s="0">
    <v>11</v>
    <v>5</v>
  </rv>
  <rv s="0">
    <v>12</v>
    <v>5</v>
  </rv>
  <rv s="0">
    <v>13</v>
    <v>5</v>
  </rv>
  <rv s="1">
    <v>14</v>
    <v>5</v>
    <v>Kẹp tiếp địa thanh ray – ONENERGY</v>
  </rv>
  <rv s="0">
    <v>15</v>
    <v>5</v>
  </rv>
  <rv s="0">
    <v>16</v>
    <v>5</v>
  </rv>
  <rv s="0">
    <v>17</v>
    <v>5</v>
  </rv>
  <rv s="0">
    <v>18</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3"/>
  <sheetViews>
    <sheetView tabSelected="1" workbookViewId="0">
      <selection activeCell="F30" sqref="F30"/>
    </sheetView>
  </sheetViews>
  <sheetFormatPr defaultColWidth="9" defaultRowHeight="13" x14ac:dyDescent="0.3"/>
  <cols>
    <col min="1" max="1" width="5.3984375" customWidth="1"/>
    <col min="2" max="2" width="33.796875" customWidth="1"/>
    <col min="3" max="3" width="29.19921875" customWidth="1"/>
    <col min="4" max="5" width="11.59765625" customWidth="1"/>
    <col min="6" max="6" width="17" customWidth="1"/>
    <col min="7" max="7" width="17.796875" customWidth="1"/>
  </cols>
  <sheetData>
    <row r="1" spans="1:7" ht="95" customHeight="1" x14ac:dyDescent="0.3">
      <c r="A1" s="28" t="e" vm="1">
        <v>#VALUE!</v>
      </c>
      <c r="B1" s="28"/>
      <c r="C1" s="38" t="s">
        <v>66</v>
      </c>
      <c r="D1" s="38"/>
      <c r="E1" s="38"/>
      <c r="F1" s="38"/>
      <c r="G1" s="38"/>
    </row>
    <row r="2" spans="1:7" ht="25" customHeight="1" x14ac:dyDescent="0.3">
      <c r="A2" s="2"/>
      <c r="B2" s="2"/>
      <c r="C2" s="3"/>
      <c r="D2" s="3"/>
      <c r="E2" s="3"/>
      <c r="F2" s="4" t="s">
        <v>64</v>
      </c>
      <c r="G2" s="23">
        <f ca="1">TODAY()</f>
        <v>45759</v>
      </c>
    </row>
    <row r="3" spans="1:7" ht="25" customHeight="1" x14ac:dyDescent="0.3">
      <c r="A3" s="36" t="s">
        <v>62</v>
      </c>
      <c r="B3" s="37"/>
      <c r="C3" s="37"/>
      <c r="D3" s="37"/>
      <c r="E3" s="37"/>
      <c r="F3" s="37"/>
      <c r="G3" s="37"/>
    </row>
    <row r="4" spans="1:7" ht="67" customHeight="1" x14ac:dyDescent="0.3">
      <c r="A4" s="34" t="s">
        <v>63</v>
      </c>
      <c r="B4" s="35"/>
      <c r="C4" s="35"/>
      <c r="D4" s="35"/>
      <c r="E4" s="35"/>
      <c r="F4" s="35"/>
      <c r="G4" s="35"/>
    </row>
    <row r="5" spans="1:7" ht="55" customHeight="1" x14ac:dyDescent="0.3">
      <c r="A5" s="5" t="s">
        <v>67</v>
      </c>
      <c r="B5" s="6" t="s">
        <v>35</v>
      </c>
      <c r="C5" s="7" t="s">
        <v>36</v>
      </c>
      <c r="D5" s="6" t="s">
        <v>37</v>
      </c>
      <c r="E5" s="6" t="s">
        <v>32</v>
      </c>
      <c r="F5" s="8" t="s">
        <v>34</v>
      </c>
      <c r="G5" s="9" t="s">
        <v>33</v>
      </c>
    </row>
    <row r="6" spans="1:7" ht="87" customHeight="1" x14ac:dyDescent="0.3">
      <c r="A6" s="10">
        <v>1</v>
      </c>
      <c r="B6" s="11" t="s">
        <v>38</v>
      </c>
      <c r="C6" s="17" t="e" vm="2">
        <v>#VALUE!</v>
      </c>
      <c r="D6" s="12" t="s">
        <v>0</v>
      </c>
      <c r="E6" s="12">
        <v>1</v>
      </c>
      <c r="F6" s="13">
        <v>63500</v>
      </c>
      <c r="G6" s="14">
        <f>E6*F6</f>
        <v>63500</v>
      </c>
    </row>
    <row r="7" spans="1:7" ht="76.75" customHeight="1" x14ac:dyDescent="0.3">
      <c r="A7" s="10">
        <v>2</v>
      </c>
      <c r="B7" s="11" t="s">
        <v>39</v>
      </c>
      <c r="C7" s="17" t="e" vm="3">
        <v>#VALUE!</v>
      </c>
      <c r="D7" s="12" t="s">
        <v>0</v>
      </c>
      <c r="E7" s="12">
        <v>1</v>
      </c>
      <c r="F7" s="13">
        <v>62580</v>
      </c>
      <c r="G7" s="14">
        <f t="shared" ref="G7:G29" si="0">E7*F7</f>
        <v>62580</v>
      </c>
    </row>
    <row r="8" spans="1:7" ht="85.75" customHeight="1" x14ac:dyDescent="0.3">
      <c r="A8" s="10">
        <v>3</v>
      </c>
      <c r="B8" s="11" t="s">
        <v>40</v>
      </c>
      <c r="C8" s="17" t="e" vm="4">
        <v>#VALUE!</v>
      </c>
      <c r="D8" s="12" t="s">
        <v>0</v>
      </c>
      <c r="E8" s="12">
        <v>1</v>
      </c>
      <c r="F8" s="13">
        <v>61000</v>
      </c>
      <c r="G8" s="14">
        <f t="shared" si="0"/>
        <v>61000</v>
      </c>
    </row>
    <row r="9" spans="1:7" ht="83.5" customHeight="1" x14ac:dyDescent="0.3">
      <c r="A9" s="10">
        <v>4</v>
      </c>
      <c r="B9" s="11" t="s">
        <v>41</v>
      </c>
      <c r="C9" s="17" t="e" vm="5">
        <v>#VALUE!</v>
      </c>
      <c r="D9" s="12" t="s">
        <v>0</v>
      </c>
      <c r="E9" s="12">
        <v>1</v>
      </c>
      <c r="F9" s="13">
        <v>54600</v>
      </c>
      <c r="G9" s="14">
        <f t="shared" si="0"/>
        <v>54600</v>
      </c>
    </row>
    <row r="10" spans="1:7" ht="83.25" customHeight="1" x14ac:dyDescent="0.3">
      <c r="A10" s="10">
        <v>5</v>
      </c>
      <c r="B10" s="11" t="s">
        <v>42</v>
      </c>
      <c r="C10" s="15" t="e" vm="6">
        <v>#VALUE!</v>
      </c>
      <c r="D10" s="12" t="s">
        <v>1</v>
      </c>
      <c r="E10" s="12">
        <v>1</v>
      </c>
      <c r="F10" s="13">
        <v>22000</v>
      </c>
      <c r="G10" s="14">
        <f t="shared" si="0"/>
        <v>22000</v>
      </c>
    </row>
    <row r="11" spans="1:7" ht="40.5" customHeight="1" x14ac:dyDescent="0.3">
      <c r="A11" s="25">
        <v>6</v>
      </c>
      <c r="B11" s="11" t="s">
        <v>43</v>
      </c>
      <c r="C11" s="26" t="e" vm="7">
        <v>#VALUE!</v>
      </c>
      <c r="D11" s="27" t="s">
        <v>1</v>
      </c>
      <c r="E11" s="12">
        <v>1</v>
      </c>
      <c r="F11" s="13">
        <v>16800</v>
      </c>
      <c r="G11" s="14">
        <f t="shared" si="0"/>
        <v>16800</v>
      </c>
    </row>
    <row r="12" spans="1:7" ht="40.5" customHeight="1" x14ac:dyDescent="0.3">
      <c r="A12" s="25"/>
      <c r="B12" s="11" t="s">
        <v>44</v>
      </c>
      <c r="C12" s="26"/>
      <c r="D12" s="27"/>
      <c r="E12" s="12">
        <v>1</v>
      </c>
      <c r="F12" s="13">
        <v>14200</v>
      </c>
      <c r="G12" s="14">
        <f t="shared" si="0"/>
        <v>14200</v>
      </c>
    </row>
    <row r="13" spans="1:7" ht="76" customHeight="1" x14ac:dyDescent="0.3">
      <c r="A13" s="10">
        <v>7</v>
      </c>
      <c r="B13" s="11" t="s">
        <v>45</v>
      </c>
      <c r="C13" s="17" t="e" vm="8">
        <v>#VALUE!</v>
      </c>
      <c r="D13" s="12" t="s">
        <v>2</v>
      </c>
      <c r="E13" s="12">
        <v>1</v>
      </c>
      <c r="F13" s="13">
        <v>10300</v>
      </c>
      <c r="G13" s="14">
        <f t="shared" si="0"/>
        <v>10300</v>
      </c>
    </row>
    <row r="14" spans="1:7" ht="78.25" customHeight="1" x14ac:dyDescent="0.3">
      <c r="A14" s="10">
        <v>8</v>
      </c>
      <c r="B14" s="11" t="s">
        <v>46</v>
      </c>
      <c r="C14" s="17" t="e" vm="9">
        <v>#VALUE!</v>
      </c>
      <c r="D14" s="12" t="s">
        <v>2</v>
      </c>
      <c r="E14" s="12">
        <v>1</v>
      </c>
      <c r="F14" s="13">
        <v>8000</v>
      </c>
      <c r="G14" s="14">
        <f t="shared" si="0"/>
        <v>8000</v>
      </c>
    </row>
    <row r="15" spans="1:7" ht="69" customHeight="1" x14ac:dyDescent="0.3">
      <c r="A15" s="10">
        <v>9</v>
      </c>
      <c r="B15" s="11" t="s">
        <v>47</v>
      </c>
      <c r="C15" s="26" t="e" vm="10">
        <v>#VALUE!</v>
      </c>
      <c r="D15" s="27" t="s">
        <v>2</v>
      </c>
      <c r="E15" s="12">
        <v>1</v>
      </c>
      <c r="F15" s="13">
        <v>14700</v>
      </c>
      <c r="G15" s="14">
        <f t="shared" si="0"/>
        <v>14700</v>
      </c>
    </row>
    <row r="16" spans="1:7" ht="75.5" customHeight="1" x14ac:dyDescent="0.3">
      <c r="A16" s="10">
        <v>10</v>
      </c>
      <c r="B16" s="11" t="s">
        <v>50</v>
      </c>
      <c r="C16" s="26"/>
      <c r="D16" s="27"/>
      <c r="E16" s="12">
        <v>1</v>
      </c>
      <c r="F16" s="13">
        <v>24200</v>
      </c>
      <c r="G16" s="14">
        <f t="shared" si="0"/>
        <v>24200</v>
      </c>
    </row>
    <row r="17" spans="1:7" ht="88" customHeight="1" x14ac:dyDescent="0.3">
      <c r="A17" s="10">
        <v>11</v>
      </c>
      <c r="B17" s="11" t="s">
        <v>49</v>
      </c>
      <c r="C17" s="17" t="e" vm="11">
        <v>#VALUE!</v>
      </c>
      <c r="D17" s="12" t="s">
        <v>2</v>
      </c>
      <c r="E17" s="12">
        <v>1</v>
      </c>
      <c r="F17" s="22">
        <v>8000</v>
      </c>
      <c r="G17" s="14">
        <f t="shared" si="0"/>
        <v>8000</v>
      </c>
    </row>
    <row r="18" spans="1:7" ht="78" customHeight="1" x14ac:dyDescent="0.3">
      <c r="A18" s="10">
        <v>12</v>
      </c>
      <c r="B18" s="11" t="s">
        <v>48</v>
      </c>
      <c r="C18" s="17" t="e" vm="12">
        <v>#VALUE!</v>
      </c>
      <c r="D18" s="12" t="s">
        <v>2</v>
      </c>
      <c r="E18" s="12">
        <v>1</v>
      </c>
      <c r="F18" s="13">
        <v>19000</v>
      </c>
      <c r="G18" s="14">
        <f t="shared" si="0"/>
        <v>19000</v>
      </c>
    </row>
    <row r="19" spans="1:7" ht="79" customHeight="1" x14ac:dyDescent="0.3">
      <c r="A19" s="10">
        <v>13</v>
      </c>
      <c r="B19" s="11" t="s">
        <v>51</v>
      </c>
      <c r="C19" s="17" t="e" vm="13">
        <v>#VALUE!</v>
      </c>
      <c r="D19" s="12" t="s">
        <v>2</v>
      </c>
      <c r="E19" s="12">
        <v>1</v>
      </c>
      <c r="F19" s="13">
        <v>18500</v>
      </c>
      <c r="G19" s="14">
        <f t="shared" si="0"/>
        <v>18500</v>
      </c>
    </row>
    <row r="20" spans="1:7" ht="98.5" customHeight="1" x14ac:dyDescent="0.3">
      <c r="A20" s="10">
        <v>14</v>
      </c>
      <c r="B20" s="11" t="s">
        <v>52</v>
      </c>
      <c r="C20" s="17" t="e" vm="14">
        <v>#VALUE!</v>
      </c>
      <c r="D20" s="12" t="s">
        <v>2</v>
      </c>
      <c r="E20" s="12">
        <v>1</v>
      </c>
      <c r="F20" s="13">
        <v>13700</v>
      </c>
      <c r="G20" s="14">
        <f t="shared" si="0"/>
        <v>13700</v>
      </c>
    </row>
    <row r="21" spans="1:7" ht="101.5" customHeight="1" x14ac:dyDescent="0.3">
      <c r="A21" s="10">
        <v>15</v>
      </c>
      <c r="B21" s="11" t="s">
        <v>53</v>
      </c>
      <c r="C21" s="18" t="e" vm="15">
        <v>#VALUE!</v>
      </c>
      <c r="D21" s="12" t="s">
        <v>2</v>
      </c>
      <c r="E21" s="12">
        <v>1</v>
      </c>
      <c r="F21" s="13">
        <v>10500</v>
      </c>
      <c r="G21" s="14">
        <f t="shared" si="0"/>
        <v>10500</v>
      </c>
    </row>
    <row r="22" spans="1:7" ht="56.5" customHeight="1" x14ac:dyDescent="0.3">
      <c r="A22" s="29">
        <v>16</v>
      </c>
      <c r="B22" s="11" t="s">
        <v>54</v>
      </c>
      <c r="C22" s="30" t="e" vm="16">
        <v>#VALUE!</v>
      </c>
      <c r="D22" s="27" t="s">
        <v>1</v>
      </c>
      <c r="E22" s="12">
        <v>1</v>
      </c>
      <c r="F22" s="13">
        <v>17500</v>
      </c>
      <c r="G22" s="14">
        <f t="shared" si="0"/>
        <v>17500</v>
      </c>
    </row>
    <row r="23" spans="1:7" ht="56.5" customHeight="1" x14ac:dyDescent="0.3">
      <c r="A23" s="29"/>
      <c r="B23" s="11" t="s">
        <v>55</v>
      </c>
      <c r="C23" s="30"/>
      <c r="D23" s="27"/>
      <c r="E23" s="12">
        <v>1</v>
      </c>
      <c r="F23" s="13">
        <v>23700</v>
      </c>
      <c r="G23" s="14">
        <f t="shared" si="0"/>
        <v>23700</v>
      </c>
    </row>
    <row r="24" spans="1:7" ht="75.5" customHeight="1" x14ac:dyDescent="0.3">
      <c r="A24" s="10">
        <v>17</v>
      </c>
      <c r="B24" s="16" t="s">
        <v>56</v>
      </c>
      <c r="C24" s="17" t="e" vm="17">
        <v>#VALUE!</v>
      </c>
      <c r="D24" s="12" t="s">
        <v>1</v>
      </c>
      <c r="E24" s="12">
        <v>1</v>
      </c>
      <c r="F24" s="13">
        <v>1200</v>
      </c>
      <c r="G24" s="14">
        <f t="shared" si="0"/>
        <v>1200</v>
      </c>
    </row>
    <row r="25" spans="1:7" ht="79" customHeight="1" x14ac:dyDescent="0.3">
      <c r="A25" s="10">
        <v>18</v>
      </c>
      <c r="B25" s="16" t="s">
        <v>57</v>
      </c>
      <c r="C25" s="17" t="e" vm="18">
        <v>#VALUE!</v>
      </c>
      <c r="D25" s="12" t="s">
        <v>1</v>
      </c>
      <c r="E25" s="12">
        <v>1</v>
      </c>
      <c r="F25" s="13">
        <v>1200</v>
      </c>
      <c r="G25" s="14">
        <f t="shared" si="0"/>
        <v>1200</v>
      </c>
    </row>
    <row r="26" spans="1:7" ht="29" customHeight="1" x14ac:dyDescent="0.3">
      <c r="A26" s="29">
        <v>19</v>
      </c>
      <c r="B26" s="16" t="s">
        <v>58</v>
      </c>
      <c r="C26" s="26" t="e" vm="19">
        <v>#VALUE!</v>
      </c>
      <c r="D26" s="12" t="s">
        <v>1</v>
      </c>
      <c r="E26" s="12">
        <v>1</v>
      </c>
      <c r="F26" s="13">
        <v>1150</v>
      </c>
      <c r="G26" s="14">
        <f t="shared" si="0"/>
        <v>1150</v>
      </c>
    </row>
    <row r="27" spans="1:7" ht="29" customHeight="1" x14ac:dyDescent="0.3">
      <c r="A27" s="29"/>
      <c r="B27" s="16" t="s">
        <v>59</v>
      </c>
      <c r="C27" s="26"/>
      <c r="D27" s="12" t="s">
        <v>1</v>
      </c>
      <c r="E27" s="12">
        <v>1</v>
      </c>
      <c r="F27" s="13">
        <v>1260</v>
      </c>
      <c r="G27" s="14">
        <f t="shared" si="0"/>
        <v>1260</v>
      </c>
    </row>
    <row r="28" spans="1:7" ht="29" customHeight="1" x14ac:dyDescent="0.3">
      <c r="A28" s="29"/>
      <c r="B28" s="16" t="s">
        <v>60</v>
      </c>
      <c r="C28" s="26"/>
      <c r="D28" s="12" t="s">
        <v>1</v>
      </c>
      <c r="E28" s="12">
        <v>1</v>
      </c>
      <c r="F28" s="13">
        <v>1580</v>
      </c>
      <c r="G28" s="14">
        <f t="shared" si="0"/>
        <v>1580</v>
      </c>
    </row>
    <row r="29" spans="1:7" ht="29" customHeight="1" x14ac:dyDescent="0.3">
      <c r="A29" s="29"/>
      <c r="B29" s="16" t="s">
        <v>61</v>
      </c>
      <c r="C29" s="26"/>
      <c r="D29" s="12" t="s">
        <v>1</v>
      </c>
      <c r="E29" s="12">
        <v>1</v>
      </c>
      <c r="F29" s="13">
        <v>1790</v>
      </c>
      <c r="G29" s="14">
        <f t="shared" si="0"/>
        <v>1790</v>
      </c>
    </row>
    <row r="31" spans="1:7" ht="25" customHeight="1" x14ac:dyDescent="0.3">
      <c r="A31" s="19" t="s">
        <v>3</v>
      </c>
      <c r="B31" s="40" t="s">
        <v>4</v>
      </c>
      <c r="C31" s="41"/>
      <c r="D31" s="41"/>
      <c r="E31" s="41"/>
      <c r="F31" s="41"/>
      <c r="G31" s="41"/>
    </row>
    <row r="32" spans="1:7" ht="25" customHeight="1" x14ac:dyDescent="0.3">
      <c r="A32" s="24" t="s">
        <v>5</v>
      </c>
      <c r="B32" s="20" t="s">
        <v>6</v>
      </c>
      <c r="C32" s="32" t="s">
        <v>7</v>
      </c>
      <c r="D32" s="33"/>
      <c r="E32" s="33"/>
      <c r="F32" s="33"/>
      <c r="G32" s="33"/>
    </row>
    <row r="33" spans="1:7" ht="25" customHeight="1" x14ac:dyDescent="0.3">
      <c r="A33" s="24" t="s">
        <v>8</v>
      </c>
      <c r="B33" s="20" t="s">
        <v>9</v>
      </c>
      <c r="C33" s="32" t="s">
        <v>31</v>
      </c>
      <c r="D33" s="33"/>
      <c r="E33" s="33"/>
      <c r="F33" s="33"/>
      <c r="G33" s="33"/>
    </row>
    <row r="34" spans="1:7" ht="25" customHeight="1" x14ac:dyDescent="0.3">
      <c r="A34" s="24" t="s">
        <v>10</v>
      </c>
      <c r="B34" s="20" t="s">
        <v>11</v>
      </c>
      <c r="C34" s="32" t="s">
        <v>31</v>
      </c>
      <c r="D34" s="33"/>
      <c r="E34" s="33"/>
      <c r="F34" s="33"/>
      <c r="G34" s="33"/>
    </row>
    <row r="35" spans="1:7" ht="25" customHeight="1" x14ac:dyDescent="0.3">
      <c r="A35" s="24">
        <v>4</v>
      </c>
      <c r="B35" s="20" t="s">
        <v>12</v>
      </c>
      <c r="C35" s="32" t="s">
        <v>13</v>
      </c>
      <c r="D35" s="33"/>
      <c r="E35" s="33"/>
      <c r="F35" s="33"/>
      <c r="G35" s="33"/>
    </row>
    <row r="36" spans="1:7" ht="25" customHeight="1" x14ac:dyDescent="0.3">
      <c r="A36" s="24" t="s">
        <v>14</v>
      </c>
      <c r="B36" s="20" t="s">
        <v>15</v>
      </c>
      <c r="C36" s="32" t="s">
        <v>16</v>
      </c>
      <c r="D36" s="33"/>
      <c r="E36" s="33"/>
      <c r="F36" s="33"/>
      <c r="G36" s="33"/>
    </row>
    <row r="37" spans="1:7" ht="25" customHeight="1" x14ac:dyDescent="0.3">
      <c r="A37" s="24" t="s">
        <v>17</v>
      </c>
      <c r="B37" s="20" t="s">
        <v>18</v>
      </c>
      <c r="C37" s="21" t="s">
        <v>19</v>
      </c>
      <c r="D37" s="39" t="s">
        <v>30</v>
      </c>
      <c r="E37" s="39"/>
      <c r="F37" s="39"/>
      <c r="G37" s="39"/>
    </row>
    <row r="38" spans="1:7" ht="34" customHeight="1" x14ac:dyDescent="0.3">
      <c r="A38" s="24"/>
      <c r="B38" s="20"/>
      <c r="C38" s="21" t="s">
        <v>20</v>
      </c>
      <c r="D38" s="39" t="s">
        <v>21</v>
      </c>
      <c r="E38" s="39"/>
      <c r="F38" s="39"/>
      <c r="G38" s="39"/>
    </row>
    <row r="39" spans="1:7" ht="56" customHeight="1" x14ac:dyDescent="0.3">
      <c r="A39" s="24"/>
      <c r="B39" s="20"/>
      <c r="C39" s="21" t="s">
        <v>22</v>
      </c>
      <c r="D39" s="39" t="s">
        <v>23</v>
      </c>
      <c r="E39" s="39"/>
      <c r="F39" s="39"/>
      <c r="G39" s="39"/>
    </row>
    <row r="40" spans="1:7" ht="66.5" customHeight="1" x14ac:dyDescent="0.3">
      <c r="A40" s="24"/>
      <c r="B40" s="20"/>
      <c r="C40" s="21" t="s">
        <v>24</v>
      </c>
      <c r="D40" s="39" t="s">
        <v>65</v>
      </c>
      <c r="E40" s="39"/>
      <c r="F40" s="39"/>
      <c r="G40" s="39"/>
    </row>
    <row r="41" spans="1:7" ht="25" customHeight="1" x14ac:dyDescent="0.3">
      <c r="A41" s="24" t="s">
        <v>25</v>
      </c>
      <c r="B41" s="20" t="s">
        <v>26</v>
      </c>
      <c r="C41" s="32" t="s">
        <v>27</v>
      </c>
      <c r="D41" s="33"/>
      <c r="E41" s="33"/>
      <c r="F41" s="33"/>
      <c r="G41" s="33"/>
    </row>
    <row r="42" spans="1:7" ht="39" customHeight="1" x14ac:dyDescent="0.3">
      <c r="A42" s="1" t="s">
        <v>28</v>
      </c>
      <c r="B42" s="1"/>
      <c r="C42" s="1"/>
      <c r="D42" s="31" t="s">
        <v>29</v>
      </c>
      <c r="E42" s="31"/>
      <c r="F42" s="31"/>
      <c r="G42" s="31"/>
    </row>
    <row r="43" spans="1:7" ht="25" customHeight="1" x14ac:dyDescent="0.3"/>
  </sheetData>
  <mergeCells count="26">
    <mergeCell ref="D42:G42"/>
    <mergeCell ref="C41:G41"/>
    <mergeCell ref="A4:G4"/>
    <mergeCell ref="A3:G3"/>
    <mergeCell ref="C1:G1"/>
    <mergeCell ref="C36:G36"/>
    <mergeCell ref="D37:G37"/>
    <mergeCell ref="D38:G38"/>
    <mergeCell ref="D39:G39"/>
    <mergeCell ref="D40:G40"/>
    <mergeCell ref="B31:G31"/>
    <mergeCell ref="C32:G32"/>
    <mergeCell ref="C33:G33"/>
    <mergeCell ref="C34:G34"/>
    <mergeCell ref="C35:G35"/>
    <mergeCell ref="A26:A29"/>
    <mergeCell ref="A11:A12"/>
    <mergeCell ref="C11:C12"/>
    <mergeCell ref="D11:D12"/>
    <mergeCell ref="A1:B1"/>
    <mergeCell ref="C26:C29"/>
    <mergeCell ref="C15:C16"/>
    <mergeCell ref="D15:D16"/>
    <mergeCell ref="A22:A23"/>
    <mergeCell ref="C22:C23"/>
    <mergeCell ref="D22:D23"/>
  </mergeCells>
  <phoneticPr fontId="14" type="noConversion"/>
  <printOptions horizontalCentered="1"/>
  <pageMargins left="0.51181102362204722" right="0.31496062992125984" top="0.59055118110236227" bottom="0.59055118110236227" header="0" footer="0"/>
  <pageSetup paperSize="256" scale="84" fitToHeight="3"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1</vt:lpstr>
      <vt:lpstr>'Table 1'!Print_Area</vt:lpstr>
      <vt:lpstr>'Table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NguyenVanDat</cp:lastModifiedBy>
  <cp:lastPrinted>2025-04-11T03:48:01Z</cp:lastPrinted>
  <dcterms:created xsi:type="dcterms:W3CDTF">2025-04-11T03:24:16Z</dcterms:created>
  <dcterms:modified xsi:type="dcterms:W3CDTF">2025-04-12T07:15:31Z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2025-03-10T00:00:00Z</vt:filetime>
  </property>
  <property fmtid="{D5CDD505-2E9C-101B-9397-08002B2CF9AE}" pid="3" name="LastSaved">
    <vt:filetime>2025-04-11T00:00:00Z</vt:filetime>
  </property>
  <property fmtid="{D5CDD505-2E9C-101B-9397-08002B2CF9AE}" pid="4" name="Producer">
    <vt:lpwstr>3-Heights(TM) PDF Security Shell 4.8.25.2 (http://www.pdf-tools.com)</vt:lpwstr>
  </property>
</Properties>
</file>